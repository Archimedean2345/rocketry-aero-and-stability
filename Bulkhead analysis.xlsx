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47" i="1" l="1"/>
  <c r="C48" i="1"/>
  <c r="C49" i="1"/>
  <c r="C50" i="1"/>
  <c r="C51" i="1"/>
  <c r="C46" i="1"/>
  <c r="C43" i="1"/>
  <c r="B40" i="1"/>
  <c r="C39" i="1"/>
  <c r="B39" i="1"/>
  <c r="F37" i="1"/>
  <c r="F36" i="1"/>
  <c r="C20" i="1"/>
  <c r="C21" i="1" s="1"/>
  <c r="C22" i="1" s="1"/>
  <c r="C18" i="1"/>
  <c r="C19" i="1"/>
  <c r="C12" i="1"/>
  <c r="C4" i="1"/>
  <c r="C8" i="1" s="1"/>
  <c r="C14" i="1" s="1"/>
  <c r="C2" i="1"/>
</calcChain>
</file>

<file path=xl/sharedStrings.xml><?xml version="1.0" encoding="utf-8"?>
<sst xmlns="http://schemas.openxmlformats.org/spreadsheetml/2006/main" count="36" uniqueCount="24">
  <si>
    <t>Length</t>
  </si>
  <si>
    <t>Contact area</t>
  </si>
  <si>
    <t>ODbh</t>
  </si>
  <si>
    <t>IDbh</t>
  </si>
  <si>
    <t>mm</t>
  </si>
  <si>
    <t>mm^2</t>
  </si>
  <si>
    <t xml:space="preserve">Load </t>
  </si>
  <si>
    <t>N</t>
  </si>
  <si>
    <t>Stress, shear</t>
  </si>
  <si>
    <t>Mpa</t>
  </si>
  <si>
    <t>adinox m305</t>
  </si>
  <si>
    <t>psi</t>
  </si>
  <si>
    <t>Sf</t>
  </si>
  <si>
    <t>Adhesive joint</t>
  </si>
  <si>
    <t>Bearing stress</t>
  </si>
  <si>
    <t>ODrcktMot</t>
  </si>
  <si>
    <t>Acnt</t>
  </si>
  <si>
    <t>t</t>
  </si>
  <si>
    <t>kg/mm^2</t>
  </si>
  <si>
    <t>0.1 Mpa</t>
  </si>
  <si>
    <t>1.02 kgf/cm^2</t>
  </si>
  <si>
    <t>102 kgf/mm^2</t>
  </si>
  <si>
    <t>in</t>
  </si>
  <si>
    <t>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</si>
</sst>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1" formatCode="0.0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1" fontId="0" fillId="0" borderId="0" xfId="0" applyNumberFormat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285750</xdr:colOff>
      <xdr:row>0</xdr:row>
      <xdr:rowOff>180976</xdr:rowOff>
    </xdr:from>
    <xdr:to>
      <xdr:col>10</xdr:col>
      <xdr:colOff>593705</xdr:colOff>
      <xdr:row>12</xdr:row>
      <xdr:rowOff>123826</xdr:rowOff>
    </xdr:to>
    <xdr:pic>
      <xdr:nvPicPr>
        <xdr:cNvPr id="2" name="Picture 1" descr="International pressure units - WIKA blo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5575" y="180976"/>
          <a:ext cx="3965555" cy="222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285750</xdr:colOff>
      <xdr:row>10</xdr:row>
      <xdr:rowOff>175375</xdr:rowOff>
    </xdr:from>
    <xdr:to>
      <xdr:col>10</xdr:col>
      <xdr:colOff>277215</xdr:colOff>
      <xdr:row>20</xdr:row>
      <xdr:rowOff>38580</xdr:rowOff>
    </xdr:to>
    <xdr:grpSp>
      <xdr:nvGrpSpPr>
        <xdr:cNvPr id="5" name="Group 4"/>
        <xdr:cNvGrpSpPr/>
      </xdr:nvGrpSpPr>
      <xdr:grpSpPr>
        <a:xfrm>
          <a:off x="2724150" y="2080375"/>
          <a:ext cx="3649065" cy="1768205"/>
          <a:chOff x="2695575" y="2080375"/>
          <a:chExt cx="3649065" cy="1768205"/>
        </a:xfrm>
      </xdr:grpSpPr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695575" y="2080375"/>
            <a:ext cx="3649065" cy="1768205"/>
          </a:xfrm>
          <a:prstGeom prst="rect">
            <a:avLst/>
          </a:prstGeom>
        </xdr:spPr>
      </xdr:pic>
      <xdr:sp macro="" textlink="">
        <xdr:nvSpPr>
          <xdr:cNvPr id="4" name="TextBox 3"/>
          <xdr:cNvSpPr txBox="1"/>
        </xdr:nvSpPr>
        <xdr:spPr>
          <a:xfrm>
            <a:off x="2781300" y="2324100"/>
            <a:ext cx="1013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ADINOX M305</a:t>
            </a:r>
          </a:p>
        </xdr:txBody>
      </xdr:sp>
    </xdr:grpSp>
    <xdr:clientData/>
  </xdr:twoCellAnchor>
  <xdr:twoCellAnchor editAs="oneCell">
    <xdr:from>
      <xdr:col>4</xdr:col>
      <xdr:colOff>247650</xdr:colOff>
      <xdr:row>20</xdr:row>
      <xdr:rowOff>38100</xdr:rowOff>
    </xdr:from>
    <xdr:to>
      <xdr:col>11</xdr:col>
      <xdr:colOff>191088</xdr:colOff>
      <xdr:row>32</xdr:row>
      <xdr:rowOff>9840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86050" y="3848100"/>
          <a:ext cx="4210638" cy="225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51"/>
  <sheetViews>
    <sheetView tabSelected="1" topLeftCell="A34" workbookViewId="0">
      <selection activeCell="H43" sqref="H43"/>
    </sheetView>
  </sheetViews>
  <sheetFormatPr defaultRowHeight="15" x14ac:dyDescent="0.25"/>
  <cols>
    <col min="1" max="1" width="5.140625" customWidth="1"/>
    <col min="2" max="2" width="12.7109375" customWidth="1"/>
    <col min="3" max="3" width="9.5703125" bestFit="1" customWidth="1"/>
  </cols>
  <sheetData>
    <row r="1" spans="2:4" x14ac:dyDescent="0.25">
      <c r="B1" s="2" t="s">
        <v>13</v>
      </c>
    </row>
    <row r="2" spans="2:4" x14ac:dyDescent="0.25">
      <c r="B2" t="s">
        <v>2</v>
      </c>
      <c r="C2">
        <f>88.9</f>
        <v>88.9</v>
      </c>
      <c r="D2" t="s">
        <v>4</v>
      </c>
    </row>
    <row r="3" spans="2:4" x14ac:dyDescent="0.25">
      <c r="B3" t="s">
        <v>0</v>
      </c>
      <c r="C3">
        <v>50</v>
      </c>
      <c r="D3" t="s">
        <v>4</v>
      </c>
    </row>
    <row r="4" spans="2:4" x14ac:dyDescent="0.25">
      <c r="B4" t="s">
        <v>1</v>
      </c>
      <c r="C4">
        <f>PI()*C2*C3</f>
        <v>13964.379345206631</v>
      </c>
      <c r="D4" t="s">
        <v>5</v>
      </c>
    </row>
    <row r="5" spans="2:4" x14ac:dyDescent="0.25">
      <c r="B5" t="s">
        <v>3</v>
      </c>
      <c r="C5">
        <v>30</v>
      </c>
      <c r="D5" t="s">
        <v>4</v>
      </c>
    </row>
    <row r="7" spans="2:4" x14ac:dyDescent="0.25">
      <c r="B7" t="s">
        <v>6</v>
      </c>
      <c r="C7">
        <v>1200</v>
      </c>
      <c r="D7" t="s">
        <v>7</v>
      </c>
    </row>
    <row r="8" spans="2:4" x14ac:dyDescent="0.25">
      <c r="B8" t="s">
        <v>8</v>
      </c>
      <c r="C8">
        <f>C7/C4</f>
        <v>8.5932927653666766E-2</v>
      </c>
      <c r="D8" t="s">
        <v>9</v>
      </c>
    </row>
    <row r="10" spans="2:4" x14ac:dyDescent="0.25">
      <c r="B10" t="s">
        <v>10</v>
      </c>
    </row>
    <row r="11" spans="2:4" x14ac:dyDescent="0.25">
      <c r="B11" t="s">
        <v>8</v>
      </c>
      <c r="C11">
        <v>1750</v>
      </c>
      <c r="D11" t="s">
        <v>11</v>
      </c>
    </row>
    <row r="12" spans="2:4" x14ac:dyDescent="0.25">
      <c r="C12" s="1">
        <f>C11*(0.1/14.5)</f>
        <v>12.068965517241381</v>
      </c>
      <c r="D12" t="s">
        <v>9</v>
      </c>
    </row>
    <row r="14" spans="2:4" x14ac:dyDescent="0.25">
      <c r="B14" t="s">
        <v>12</v>
      </c>
      <c r="C14">
        <f>C12/C8</f>
        <v>140.44634398914718</v>
      </c>
    </row>
    <row r="16" spans="2:4" x14ac:dyDescent="0.25">
      <c r="B16" s="2" t="s">
        <v>14</v>
      </c>
    </row>
    <row r="17" spans="2:4" x14ac:dyDescent="0.25">
      <c r="B17" t="s">
        <v>3</v>
      </c>
      <c r="C17">
        <v>55</v>
      </c>
      <c r="D17" t="s">
        <v>4</v>
      </c>
    </row>
    <row r="18" spans="2:4" x14ac:dyDescent="0.25">
      <c r="B18" t="s">
        <v>15</v>
      </c>
      <c r="C18">
        <f>2.375*25.4</f>
        <v>60.324999999999996</v>
      </c>
      <c r="D18" t="s">
        <v>4</v>
      </c>
    </row>
    <row r="19" spans="2:4" x14ac:dyDescent="0.25">
      <c r="B19" t="s">
        <v>16</v>
      </c>
      <c r="C19">
        <f>(PI()/4)*((C18^4)-C17^4)</f>
        <v>3214214.2983454713</v>
      </c>
      <c r="D19" t="s">
        <v>5</v>
      </c>
    </row>
    <row r="20" spans="2:4" x14ac:dyDescent="0.25">
      <c r="B20" t="s">
        <v>17</v>
      </c>
      <c r="C20">
        <f>(C18-C17)/2</f>
        <v>2.6624999999999979</v>
      </c>
      <c r="D20" t="s">
        <v>4</v>
      </c>
    </row>
    <row r="21" spans="2:4" x14ac:dyDescent="0.25">
      <c r="B21" t="s">
        <v>8</v>
      </c>
      <c r="C21">
        <f>0.2232/C20</f>
        <v>8.3830985915493025E-2</v>
      </c>
      <c r="D21" t="s">
        <v>18</v>
      </c>
    </row>
    <row r="22" spans="2:4" x14ac:dyDescent="0.25">
      <c r="C22">
        <f>C21+(0.1/102)</f>
        <v>8.4811378072355767E-2</v>
      </c>
      <c r="D22" t="s">
        <v>9</v>
      </c>
    </row>
    <row r="24" spans="2:4" x14ac:dyDescent="0.25">
      <c r="B24" t="s">
        <v>19</v>
      </c>
      <c r="C24" t="s">
        <v>20</v>
      </c>
    </row>
    <row r="25" spans="2:4" x14ac:dyDescent="0.25">
      <c r="C25" t="s">
        <v>21</v>
      </c>
    </row>
    <row r="35" spans="2:6" x14ac:dyDescent="0.25">
      <c r="E35" t="s">
        <v>22</v>
      </c>
      <c r="F35" t="s">
        <v>4</v>
      </c>
    </row>
    <row r="36" spans="2:6" x14ac:dyDescent="0.25">
      <c r="B36">
        <v>22.751999999999999</v>
      </c>
      <c r="C36">
        <v>22.774000000000001</v>
      </c>
      <c r="E36">
        <v>7.75</v>
      </c>
      <c r="F36">
        <f>E36*25.4</f>
        <v>196.85</v>
      </c>
    </row>
    <row r="37" spans="2:6" x14ac:dyDescent="0.25">
      <c r="B37">
        <v>23.564</v>
      </c>
      <c r="C37">
        <v>23.59</v>
      </c>
      <c r="E37">
        <v>5.75</v>
      </c>
      <c r="F37">
        <f>E37*25.4</f>
        <v>146.04999999999998</v>
      </c>
    </row>
    <row r="39" spans="2:6" x14ac:dyDescent="0.25">
      <c r="B39">
        <f>24.134+0.02</f>
        <v>24.154</v>
      </c>
      <c r="C39">
        <f>B39*25.4</f>
        <v>613.51159999999993</v>
      </c>
    </row>
    <row r="40" spans="2:6" x14ac:dyDescent="0.25">
      <c r="B40" s="1">
        <f>C40/25.4</f>
        <v>24.178346456692914</v>
      </c>
      <c r="C40" s="3">
        <v>614.13</v>
      </c>
    </row>
    <row r="42" spans="2:6" x14ac:dyDescent="0.25">
      <c r="B42" t="s">
        <v>23</v>
      </c>
    </row>
    <row r="43" spans="2:6" x14ac:dyDescent="0.25">
      <c r="B43">
        <v>14.207000000000001</v>
      </c>
      <c r="C43">
        <f>B43*25.4</f>
        <v>360.8578</v>
      </c>
    </row>
    <row r="44" spans="2:6" x14ac:dyDescent="0.25">
      <c r="C44">
        <v>360.66</v>
      </c>
    </row>
    <row r="46" spans="2:6" x14ac:dyDescent="0.25">
      <c r="B46">
        <v>0.97</v>
      </c>
      <c r="C46" s="1">
        <f>B46/25.4</f>
        <v>3.8188976377952759E-2</v>
      </c>
    </row>
    <row r="47" spans="2:6" x14ac:dyDescent="0.25">
      <c r="B47">
        <v>0.16</v>
      </c>
      <c r="C47" s="1">
        <f t="shared" ref="C47:C51" si="0">B47/25.4</f>
        <v>6.2992125984251976E-3</v>
      </c>
    </row>
    <row r="48" spans="2:6" x14ac:dyDescent="0.25">
      <c r="B48">
        <v>0.31</v>
      </c>
      <c r="C48" s="1">
        <f t="shared" si="0"/>
        <v>1.2204724409448819E-2</v>
      </c>
    </row>
    <row r="49" spans="2:3" x14ac:dyDescent="0.25">
      <c r="B49">
        <v>0.31</v>
      </c>
      <c r="C49" s="1">
        <f t="shared" si="0"/>
        <v>1.2204724409448819E-2</v>
      </c>
    </row>
    <row r="50" spans="2:3" x14ac:dyDescent="0.25">
      <c r="B50">
        <v>0.17</v>
      </c>
      <c r="C50" s="1">
        <f t="shared" si="0"/>
        <v>6.6929133858267724E-3</v>
      </c>
    </row>
    <row r="51" spans="2:3" x14ac:dyDescent="0.25">
      <c r="B51">
        <v>0.73</v>
      </c>
      <c r="C51" s="1">
        <f t="shared" si="0"/>
        <v>2.874015748031496E-2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2025-09-18T21:55:00Z</dcterms:modified>
</cp:coreProperties>
</file>