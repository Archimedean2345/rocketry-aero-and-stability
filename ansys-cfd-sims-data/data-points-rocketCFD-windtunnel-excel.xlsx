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Engineering\01 Repos\rocketry-aero-and-stability\ansys-cfd-sims-data\"/>
    </mc:Choice>
  </mc:AlternateContent>
  <xr:revisionPtr revIDLastSave="0" documentId="13_ncr:9_{224978E8-0FA1-4111-9E91-E3B9B6614870}" xr6:coauthVersionLast="47" xr6:coauthVersionMax="47" xr10:uidLastSave="{00000000-0000-0000-0000-000000000000}"/>
  <bookViews>
    <workbookView xWindow="-110" yWindow="-110" windowWidth="19420" windowHeight="11500" activeTab="1" xr2:uid="{F5B3917E-C3E1-432E-B8E6-4FBF70357411}"/>
  </bookViews>
  <sheets>
    <sheet name="focus-data-pivot" sheetId="3" r:id="rId1"/>
    <sheet name="selection" sheetId="4" r:id="rId2"/>
    <sheet name="data-points-rocketCFD-windtunne" sheetId="1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<sst xmlns="http://schemas.openxmlformats.org/spreadsheetml/2006/main" count="143" uniqueCount="102">
  <si>
    <t xml:space="preserve"># </t>
  </si>
  <si>
    <t># 10/02/2025 18:15:22</t>
  </si>
  <si>
    <t># The parameters defined in the project are:</t>
  </si>
  <si>
    <t>P29 - NoseConeLength [cm]</t>
  </si>
  <si>
    <t>P30 - radius [m]</t>
  </si>
  <si>
    <t>P31 - rocketLocation [m]</t>
  </si>
  <si>
    <t>P32 - fuselageLength [cm]</t>
  </si>
  <si>
    <t>P33 - pointRoundingRadius [mm]</t>
  </si>
  <si>
    <t>P34 - pointRoundingHeight [mm]</t>
  </si>
  <si>
    <t>P35 - overallLength [m]</t>
  </si>
  <si>
    <t>P36 - diameter [mm]</t>
  </si>
  <si>
    <t>P37 - boi_upstream [mm]</t>
  </si>
  <si>
    <t>P38 - boi_radius [mm]</t>
  </si>
  <si>
    <t>P39 - boi_downstream [mm]</t>
  </si>
  <si>
    <t>P40 - farfield_upstream [m]</t>
  </si>
  <si>
    <t>P41 - farfield_downstream [m]</t>
  </si>
  <si>
    <t>P42 - farfield_radius [m]</t>
  </si>
  <si>
    <t>P43 - boi_NCpoint [m]</t>
  </si>
  <si>
    <t>P44 - boi_NCpointDiam [mm]</t>
  </si>
  <si>
    <t>P45 - Croot [cm]</t>
  </si>
  <si>
    <t>P46 - Ctip [cm]</t>
  </si>
  <si>
    <t>P47 - finLocation_base2TE [cm]</t>
  </si>
  <si>
    <t>P48 - enlarging [cm]</t>
  </si>
  <si>
    <t>P49 - semi_span [m]</t>
  </si>
  <si>
    <t>P51 - locationFinRadius [m]</t>
  </si>
  <si>
    <t>P53 - sweepLength [m]</t>
  </si>
  <si>
    <t>P54 - sweepAngle [degree]</t>
  </si>
  <si>
    <t>P55 - MachInput</t>
  </si>
  <si>
    <t>P56 - operatingPressure [Pa]</t>
  </si>
  <si>
    <t>P57 - inputAbsTemp [K]</t>
  </si>
  <si>
    <t>P61 - locationFinRight [m]</t>
  </si>
  <si>
    <t>P65 - NoseConeLength [cm]</t>
  </si>
  <si>
    <t>P66 - radius [m]</t>
  </si>
  <si>
    <t>P67 - rocketLocation [m]</t>
  </si>
  <si>
    <t>P68 - fuselageLength [cm]</t>
  </si>
  <si>
    <t>P69 - pointRoundingRadius [mm]</t>
  </si>
  <si>
    <t>P70 - pointRoundingHeight [mm]</t>
  </si>
  <si>
    <t>P71 - overallLength [m]</t>
  </si>
  <si>
    <t>P72 - diameter [mm]</t>
  </si>
  <si>
    <t>P73 - boi_upstream [mm]</t>
  </si>
  <si>
    <t>P74 - boi_radius [mm]</t>
  </si>
  <si>
    <t>P75 - boi_downstream [mm]</t>
  </si>
  <si>
    <t>P76 - farfield_upstream [mm]</t>
  </si>
  <si>
    <t>P77 - farfield_downstream [mm]</t>
  </si>
  <si>
    <t>P78 - farfield_radius [mm]</t>
  </si>
  <si>
    <t>P79 - boi_NCpoint [m]</t>
  </si>
  <si>
    <t>P80 - boi_NCpointDiam [mm]</t>
  </si>
  <si>
    <t>P81 - Croot [cm]</t>
  </si>
  <si>
    <t>P82 - Ctip [cm]</t>
  </si>
  <si>
    <t>P83 - finLocation_base2TE [cm]</t>
  </si>
  <si>
    <t>P84 - enlarging [cm]</t>
  </si>
  <si>
    <t>P85 - semi_span [m]</t>
  </si>
  <si>
    <t>P88 - sweepLength [m]</t>
  </si>
  <si>
    <t>P89 - sweepAngle [degree]</t>
  </si>
  <si>
    <t>P91 - velocity_incompressible [m s^-1]</t>
  </si>
  <si>
    <t>P95 - Mach_incompressible</t>
  </si>
  <si>
    <t>P97 - AoA_incompressible [degree]</t>
  </si>
  <si>
    <t>P101 - AoA_compressible [degree]</t>
  </si>
  <si>
    <t>P108 - velocityIn [m s^-1]</t>
  </si>
  <si>
    <t>P109 - temperatureAmbient [K]</t>
  </si>
  <si>
    <t>P105 - sideforce-incompressible-op [N]</t>
  </si>
  <si>
    <t>P106 - lift-force-incompressible-op [N]</t>
  </si>
  <si>
    <t>P107 - drag-force-incompressible-op [N]</t>
  </si>
  <si>
    <t>P110 - side-force-op [N]</t>
  </si>
  <si>
    <t>P111 - lift-force-op [N]</t>
  </si>
  <si>
    <t>P112 - drag-force-op [N]</t>
  </si>
  <si>
    <t>DP 0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</si>
  <si>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</si>
  <si>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</si>
  <si>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</si>
  <si>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</si>
  <si>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</si>
  <si>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</si>
  <si>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</si>
  <si>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</si>
  <si>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</si>
  <si>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</si>
  <si>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</si>
  <si>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</si>
  <si>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</si>
  <si>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</si>
  <si>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</si>
  <si>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</si>
  <si>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</si>
  <si>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</si>
  <si>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</si>
  <si>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</si>
  <si>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</si>
  <si>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</si>
  <si>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</si>
  <si>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</si>
  <si>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Sum of P112 - drag-force-op [N]</t>
  </si>
  <si>
    <t>Sum of P111 - lift-force-op [N]</t>
  </si>
  <si>
    <t>Sum of P110 - side-force-op [N]</t>
  </si>
  <si>
    <t>Sum of P105 - sideforce-incompressible-op [N]</t>
  </si>
  <si>
    <t>Sum of P106 - lift-force-incompressible-op [N]</t>
  </si>
  <si>
    <t>Sum of P107 - drag-force-incompressible-op [N]</t>
  </si>
  <si>
    <t>(All)</t>
  </si>
  <si>
    <t>Row Labels</t>
  </si>
  <si>
    <t>Grand Total</t>
  </si>
  <si>
    <t>INCOMPRESSIBLE</t>
  </si>
  <si>
    <t>COMPRESSIBLE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</si>
</sst>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0" fontId="0" fillId="0" borderId="0" xfId="0" applyFill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[data-points-rocketCFD-windtunnel-excel.xlsx]selection!PivotTable8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selection!$C$84</c:f>
              <c:strCache>
                <c:ptCount val="1"/>
                <c:pt idx="0">
                  <c:v>Sum of P112 - drag-force-op 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selection!$A$85:$A$93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50</c:v>
                </c:pt>
              </c:strCache>
            </c:strRef>
          </c:cat>
          <c:val>
            <c:numRef>
              <c:f>selection!$C$85:$C$93</c:f>
              <c:numCache>
                <c:formatCode>General</c:formatCode>
                <c:ptCount val="8"/>
                <c:pt idx="0">
                  <c:v>-82.615227000000004</c:v>
                </c:pt>
                <c:pt idx="1">
                  <c:v>-107.04266</c:v>
                </c:pt>
                <c:pt idx="2">
                  <c:v>-170.94469000000001</c:v>
                </c:pt>
                <c:pt idx="3">
                  <c:v>-271.36932000000002</c:v>
                </c:pt>
                <c:pt idx="4">
                  <c:v>-384.69619999999998</c:v>
                </c:pt>
                <c:pt idx="5">
                  <c:v>-533.46954000000005</c:v>
                </c:pt>
                <c:pt idx="6">
                  <c:v>-901.23639000000003</c:v>
                </c:pt>
                <c:pt idx="7">
                  <c:v>2106.2408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2-4191-A22B-6863AE2B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471903"/>
        <c:axId val="1986471423"/>
      </c:lineChart>
      <c:lineChart>
        <c:grouping val="standard"/>
        <c:varyColors val="0"/>
        <c:ser>
          <c:idx val="0"/>
          <c:order val="0"/>
          <c:tx>
            <c:strRef>
              <c:f>selection!$B$84</c:f>
              <c:strCache>
                <c:ptCount val="1"/>
                <c:pt idx="0">
                  <c:v>Sum of P111 - lift-force-op 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selection!$A$85:$A$93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50</c:v>
                </c:pt>
              </c:strCache>
            </c:strRef>
          </c:cat>
          <c:val>
            <c:numRef>
              <c:f>selection!$B$85:$B$93</c:f>
              <c:numCache>
                <c:formatCode>General</c:formatCode>
                <c:ptCount val="8"/>
                <c:pt idx="0">
                  <c:v>-0.47210935999999998</c:v>
                </c:pt>
                <c:pt idx="1">
                  <c:v>0.1464984</c:v>
                </c:pt>
                <c:pt idx="2">
                  <c:v>-0.35298541</c:v>
                </c:pt>
                <c:pt idx="3">
                  <c:v>0.42059501999999999</c:v>
                </c:pt>
                <c:pt idx="4">
                  <c:v>-1.4347733</c:v>
                </c:pt>
                <c:pt idx="5">
                  <c:v>-5.2316639</c:v>
                </c:pt>
                <c:pt idx="6">
                  <c:v>-31.939931999999999</c:v>
                </c:pt>
                <c:pt idx="7">
                  <c:v>9.1766457999999993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2-4191-A22B-6863AE2B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70911"/>
        <c:axId val="175872831"/>
      </c:lineChart>
      <c:catAx>
        <c:axId val="198647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71423"/>
        <c:crosses val="autoZero"/>
        <c:auto val="1"/>
        <c:lblAlgn val="ctr"/>
        <c:lblOffset val="100"/>
        <c:noMultiLvlLbl val="0"/>
      </c:catAx>
      <c:valAx>
        <c:axId val="198647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71903"/>
        <c:crosses val="autoZero"/>
        <c:crossBetween val="between"/>
      </c:valAx>
      <c:valAx>
        <c:axId val="1758728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70911"/>
        <c:crosses val="max"/>
        <c:crossBetween val="between"/>
      </c:valAx>
      <c:catAx>
        <c:axId val="175870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8728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[data-points-rocketCFD-windtunnel-excel.xlsx]selection!PivotTable7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selection!$C$71</c:f>
              <c:strCache>
                <c:ptCount val="1"/>
                <c:pt idx="0">
                  <c:v>Sum of P112 - drag-force-op 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selection!$A$72:$A$80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50</c:v>
                </c:pt>
              </c:strCache>
            </c:strRef>
          </c:cat>
          <c:val>
            <c:numRef>
              <c:f>selection!$C$72:$C$80</c:f>
              <c:numCache>
                <c:formatCode>General</c:formatCode>
                <c:ptCount val="8"/>
                <c:pt idx="0">
                  <c:v>-144.27562</c:v>
                </c:pt>
                <c:pt idx="1">
                  <c:v>-91.529393999999996</c:v>
                </c:pt>
                <c:pt idx="2">
                  <c:v>-145.99617000000001</c:v>
                </c:pt>
                <c:pt idx="3">
                  <c:v>-238.94354999999999</c:v>
                </c:pt>
                <c:pt idx="4">
                  <c:v>-348.54969999999997</c:v>
                </c:pt>
                <c:pt idx="5">
                  <c:v>-491.40924999999999</c:v>
                </c:pt>
                <c:pt idx="6">
                  <c:v>-886.98393999999996</c:v>
                </c:pt>
                <c:pt idx="7">
                  <c:v>711.44835999999998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E-4B55-8D20-3B51629C53B6}"/>
            </c:ext>
          </c:extLst>
        </c:ser>
        <c:ser>
          <c:idx val="0"/>
          <c:order val="0"/>
          <c:tx>
            <c:strRef>
              <c:f>selection!$B$71</c:f>
              <c:strCache>
                <c:ptCount val="1"/>
                <c:pt idx="0">
                  <c:v>Sum of P111 - lift-force-op 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selection!$A$72:$A$80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50</c:v>
                </c:pt>
              </c:strCache>
            </c:strRef>
          </c:cat>
          <c:val>
            <c:numRef>
              <c:f>selection!$B$72:$B$80</c:f>
              <c:numCache>
                <c:formatCode>General</c:formatCode>
                <c:ptCount val="8"/>
                <c:pt idx="0">
                  <c:v>-0.23161512000000001</c:v>
                </c:pt>
                <c:pt idx="1">
                  <c:v>-0.24506836000000001</c:v>
                </c:pt>
                <c:pt idx="2">
                  <c:v>-0.28853336000000002</c:v>
                </c:pt>
                <c:pt idx="3">
                  <c:v>-2.5929643999999998E-3</c:v>
                </c:pt>
                <c:pt idx="4">
                  <c:v>0.18323596</c:v>
                </c:pt>
                <c:pt idx="5">
                  <c:v>-2.8138871000000001</c:v>
                </c:pt>
                <c:pt idx="6">
                  <c:v>-6.0994853000000004</c:v>
                </c:pt>
                <c:pt idx="7">
                  <c:v>-11.210037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E-4B55-8D20-3B51629C53B6}"/>
            </c:ext>
          </c:extLst>
        </c:ser>
        <c:ser>
          <c:idx val="2"/>
          <c:order val="2"/>
          <c:tx>
            <c:strRef>
              <c:f>selection!$D$71</c:f>
              <c:strCache>
                <c:ptCount val="1"/>
                <c:pt idx="0">
                  <c:v>Sum of P110 - side-force-op [N]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selection!$A$72:$A$80</c:f>
              <c:strCach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35</c:v>
                </c:pt>
                <c:pt idx="7">
                  <c:v>50</c:v>
                </c:pt>
              </c:strCache>
            </c:strRef>
          </c:cat>
          <c:val>
            <c:numRef>
              <c:f>selection!$D$72:$D$80</c:f>
              <c:numCache>
                <c:formatCode>General</c:formatCode>
                <c:ptCount val="8"/>
                <c:pt idx="0">
                  <c:v>0.38483594000000004</c:v>
                </c:pt>
                <c:pt idx="1">
                  <c:v>208.24943999999999</c:v>
                </c:pt>
                <c:pt idx="2">
                  <c:v>424.22075000000001</c:v>
                </c:pt>
                <c:pt idx="3">
                  <c:v>631.74093000000005</c:v>
                </c:pt>
                <c:pt idx="4">
                  <c:v>759.4547</c:v>
                </c:pt>
                <c:pt idx="5">
                  <c:v>908.57574</c:v>
                </c:pt>
                <c:pt idx="6">
                  <c:v>1194.9487999999999</c:v>
                </c:pt>
                <c:pt idx="7">
                  <c:v>-643.00588000000005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BE-4B55-8D20-3B51629C5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347231"/>
        <c:axId val="429348191"/>
      </c:lineChart>
      <c:catAx>
        <c:axId val="42934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48191"/>
        <c:crosses val="autoZero"/>
        <c:auto val="1"/>
        <c:lblAlgn val="ctr"/>
        <c:lblOffset val="100"/>
        <c:noMultiLvlLbl val="0"/>
      </c:catAx>
      <c:valAx>
        <c:axId val="42934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4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81</xdr:row>
      <xdr:rowOff>30162</xdr:rowOff>
    </xdr:from>
    <xdr:to>
      <xdr:col>5</xdr:col>
      <xdr:colOff>2816225</xdr:colOff>
      <xdr:row>98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A22DF-C762-A63D-C340-8D877879A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139700</xdr:colOff>
      <xdr:row>66</xdr:row>
      <xdr:rowOff>25400</xdr:rowOff>
    </xdr:from>
    <xdr:to>
      <xdr:col>7</xdr:col>
      <xdr:colOff>425450</xdr:colOff>
      <xdr:row>80</xdr:row>
      <xdr:rowOff>150812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080C5E-FDC3-68B5-4B75-CD29D6CAB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Leonardo Valadez Ortiz" refreshedDate="45932.804843402781" createdVersion="8" refreshedVersion="8" minRefreshableVersion="3" recordCount="25" xr:uid="{FB4835F3-1B8A-48C7-BB09-050DBC1D8A21}">
  <cacheSource type="worksheet">
    <worksheetSource ref="A4:BL29" sheet="data-points-rocketCFD-windtunne"/>
  </cacheSource>
  <cacheFields count="64">
    <cacheField name="# " numFmtId="0">
      <sharedItems/>
    </cacheField>
    <cacheField name="P29 - NoseConeLength [cm]" numFmtId="0">
      <sharedItems containsSemiMixedTypes="0" containsString="0" containsNumber="1" containsInteger="1" minValue="20" maxValue="20"/>
    </cacheField>
    <cacheField name="P30 - radius [m]" numFmtId="0">
      <sharedItems containsSemiMixedTypes="0" containsString="0" containsNumber="1" minValue="4.7449999999999999E-2" maxValue="4.7449999999999999E-2"/>
    </cacheField>
    <cacheField name="P31 - rocketLocation [m]" numFmtId="0">
      <sharedItems containsSemiMixedTypes="0" containsString="0" containsNumber="1" minValue="0.76" maxValue="0.80999999999999905"/>
    </cacheField>
    <cacheField name="P32 - fuselageLength [cm]" numFmtId="0">
      <sharedItems containsSemiMixedTypes="0" containsString="0" containsNumber="1" containsInteger="1" minValue="132" maxValue="142"/>
    </cacheField>
    <cacheField name="P33 - pointRoundingRadius [mm]" numFmtId="0">
      <sharedItems containsSemiMixedTypes="0" containsString="0" containsNumber="1" minValue="1.5" maxValue="1.5"/>
    </cacheField>
    <cacheField name="P34 - pointRoundingHeight [mm]" numFmtId="0">
      <sharedItems containsSemiMixedTypes="0" containsString="0" containsNumber="1" minValue="1.2" maxValue="1.2"/>
    </cacheField>
    <cacheField name="P35 - overallLength [m]" numFmtId="0">
      <sharedItems containsSemiMixedTypes="0" containsString="0" containsNumber="1" minValue="1.52" maxValue="1.6199999999999899"/>
    </cacheField>
    <cacheField name="P36 - diameter [mm]" numFmtId="0">
      <sharedItems containsSemiMixedTypes="0" containsString="0" containsNumber="1" minValue="94.9" maxValue="94.9"/>
    </cacheField>
    <cacheField name="P37 - boi_upstream [mm]" numFmtId="0">
      <sharedItems containsSemiMixedTypes="0" containsString="0" containsNumber="1" containsInteger="1" minValue="40" maxValue="40"/>
    </cacheField>
    <cacheField name="P38 - boi_radius [mm]" numFmtId="0">
      <sharedItems containsSemiMixedTypes="0" containsString="0" containsNumber="1" containsInteger="1" minValue="80" maxValue="80"/>
    </cacheField>
    <cacheField name="P39 - boi_downstream [mm]" numFmtId="0">
      <sharedItems containsSemiMixedTypes="0" containsString="0" containsNumber="1" containsInteger="1" minValue="2300" maxValue="2300"/>
    </cacheField>
    <cacheField name="P40 - farfield_upstream [m]" numFmtId="0">
      <sharedItems containsSemiMixedTypes="0" containsString="0" containsNumber="1" minValue="15.2" maxValue="16.2"/>
    </cacheField>
    <cacheField name="P41 - farfield_downstream [m]" numFmtId="0">
      <sharedItems containsSemiMixedTypes="0" containsString="0" containsNumber="1" minValue="30.4" maxValue="32.4"/>
    </cacheField>
    <cacheField name="P42 - farfield_radius [m]" numFmtId="0">
      <sharedItems containsSemiMixedTypes="0" containsString="0" containsNumber="1" minValue="1.8979999999999999" maxValue="1.8979999999999999"/>
    </cacheField>
    <cacheField name="P43 - boi_NCpoint [m]" numFmtId="0">
      <sharedItems containsSemiMixedTypes="0" containsString="0" containsNumber="1" minValue="0.76" maxValue="0.80999999999999905"/>
    </cacheField>
    <cacheField name="P44 - boi_NCpointDiam [mm]" numFmtId="0">
      <sharedItems containsSemiMixedTypes="0" containsString="0" containsNumber="1" containsInteger="1" minValue="25" maxValue="25"/>
    </cacheField>
    <cacheField name="P45 - Croot [cm]" numFmtId="0">
      <sharedItems containsSemiMixedTypes="0" containsString="0" containsNumber="1" containsInteger="1" minValue="15" maxValue="15"/>
    </cacheField>
    <cacheField name="P46 - Ctip [cm]" numFmtId="0">
      <sharedItems containsSemiMixedTypes="0" containsString="0" containsNumber="1" containsInteger="1" minValue="10" maxValue="10"/>
    </cacheField>
    <cacheField name="P47 - finLocation_base2TE [cm]" numFmtId="0">
      <sharedItems containsSemiMixedTypes="0" containsString="0" containsNumber="1" containsInteger="1" minValue="4" maxValue="4"/>
    </cacheField>
    <cacheField name="P48 - enlarging [cm]" numFmtId="0">
      <sharedItems containsSemiMixedTypes="0" containsString="0" containsNumber="1" containsInteger="1" minValue="10" maxValue="10"/>
    </cacheField>
    <cacheField name="P49 - semi_span [m]" numFmtId="0">
      <sharedItems containsSemiMixedTypes="0" containsString="0" containsNumber="1" minValue="9.7449999999999995E-2" maxValue="9.7449999999999995E-2"/>
    </cacheField>
    <cacheField name="P51 - locationFinRadius [m]" numFmtId="0">
      <sharedItems containsSemiMixedTypes="0" containsString="0" containsNumber="1" minValue="4.7449999999999999E-2" maxValue="4.7449999999999999E-2"/>
    </cacheField>
    <cacheField name="P53 - sweepLength [m]" numFmtId="0">
      <sharedItems containsSemiMixedTypes="0" containsString="0" containsNumber="1" minValue="8.3909963117727998E-2" maxValue="8.3909963117727998E-2"/>
    </cacheField>
    <cacheField name="P54 - sweepAngle [degree]" numFmtId="0">
      <sharedItems containsSemiMixedTypes="0" containsString="0" containsNumber="1" containsInteger="1" minValue="40" maxValue="40"/>
    </cacheField>
    <cacheField name="P55 - MachInput" numFmtId="0">
      <sharedItems containsSemiMixedTypes="0" containsString="0" containsNumber="1" minValue="0.3" maxValue="0.6" count="4">
        <n v="0.5"/>
        <n v="0.6"/>
        <n v="0.4"/>
        <n v="0.3"/>
      </sharedItems>
    </cacheField>
    <cacheField name="P56 - operatingPressure [Pa]" numFmtId="0">
      <sharedItems containsSemiMixedTypes="0" containsString="0" containsNumber="1" containsInteger="1" minValue="101325" maxValue="101325"/>
    </cacheField>
    <cacheField name="P57 - inputAbsTemp [K]" numFmtId="0">
      <sharedItems containsSemiMixedTypes="0" containsString="0" containsNumber="1" containsInteger="1" minValue="288" maxValue="288"/>
    </cacheField>
    <cacheField name="P61 - locationFinRight [m]" numFmtId="0">
      <sharedItems containsSemiMixedTypes="0" containsString="0" containsNumber="1" minValue="0.76" maxValue="0.80999999999999905"/>
    </cacheField>
    <cacheField name="P65 - NoseConeLength [cm]" numFmtId="0">
      <sharedItems containsSemiMixedTypes="0" containsString="0" containsNumber="1" containsInteger="1" minValue="20" maxValue="20"/>
    </cacheField>
    <cacheField name="P66 - radius [m]" numFmtId="0">
      <sharedItems containsSemiMixedTypes="0" containsString="0" containsNumber="1" minValue="4.7449999999999999E-2" maxValue="4.7449999999999999E-2"/>
    </cacheField>
    <cacheField name="P67 - rocketLocation [m]" numFmtId="0">
      <sharedItems containsSemiMixedTypes="0" containsString="0" containsNumber="1" minValue="0.76" maxValue="0.80999999999999905"/>
    </cacheField>
    <cacheField name="P68 - fuselageLength [cm]" numFmtId="0">
      <sharedItems containsSemiMixedTypes="0" containsString="0" containsNumber="1" containsInteger="1" minValue="132" maxValue="142"/>
    </cacheField>
    <cacheField name="P69 - pointRoundingRadius [mm]" numFmtId="0">
      <sharedItems containsSemiMixedTypes="0" containsString="0" containsNumber="1" minValue="1.5" maxValue="1.5"/>
    </cacheField>
    <cacheField name="P70 - pointRoundingHeight [mm]" numFmtId="0">
      <sharedItems containsSemiMixedTypes="0" containsString="0" containsNumber="1" minValue="1.2" maxValue="1.2"/>
    </cacheField>
    <cacheField name="P71 - overallLength [m]" numFmtId="0">
      <sharedItems containsSemiMixedTypes="0" containsString="0" containsNumber="1" minValue="1.52" maxValue="1.6199999999999899"/>
    </cacheField>
    <cacheField name="P72 - diameter [mm]" numFmtId="0">
      <sharedItems containsSemiMixedTypes="0" containsString="0" containsNumber="1" minValue="94.9" maxValue="94.9"/>
    </cacheField>
    <cacheField name="P73 - boi_upstream [mm]" numFmtId="0">
      <sharedItems containsSemiMixedTypes="0" containsString="0" containsNumber="1" containsInteger="1" minValue="40" maxValue="40"/>
    </cacheField>
    <cacheField name="P74 - boi_radius [mm]" numFmtId="0">
      <sharedItems containsSemiMixedTypes="0" containsString="0" containsNumber="1" containsInteger="1" minValue="80" maxValue="80"/>
    </cacheField>
    <cacheField name="P75 - boi_downstream [mm]" numFmtId="0">
      <sharedItems containsSemiMixedTypes="0" containsString="0" containsNumber="1" containsInteger="1" minValue="2300" maxValue="2300"/>
    </cacheField>
    <cacheField name="P76 - farfield_upstream [mm]" numFmtId="0">
      <sharedItems containsSemiMixedTypes="0" containsString="0" containsNumber="1" containsInteger="1" minValue="1550" maxValue="1550"/>
    </cacheField>
    <cacheField name="P77 - farfield_downstream [mm]" numFmtId="0">
      <sharedItems containsSemiMixedTypes="0" containsString="0" containsNumber="1" containsInteger="1" minValue="2750" maxValue="2750"/>
    </cacheField>
    <cacheField name="P78 - farfield_radius [mm]" numFmtId="0">
      <sharedItems containsSemiMixedTypes="0" containsString="0" containsNumber="1" containsInteger="1" minValue="3200" maxValue="3200"/>
    </cacheField>
    <cacheField name="P79 - boi_NCpoint [m]" numFmtId="0">
      <sharedItems containsSemiMixedTypes="0" containsString="0" containsNumber="1" minValue="0.76" maxValue="0.80999999999999905"/>
    </cacheField>
    <cacheField name="P80 - boi_NCpointDiam [mm]" numFmtId="0">
      <sharedItems containsSemiMixedTypes="0" containsString="0" containsNumber="1" containsInteger="1" minValue="25" maxValue="25"/>
    </cacheField>
    <cacheField name="P81 - Croot [cm]" numFmtId="0">
      <sharedItems containsSemiMixedTypes="0" containsString="0" containsNumber="1" containsInteger="1" minValue="15" maxValue="15"/>
    </cacheField>
    <cacheField name="P82 - Ctip [cm]" numFmtId="0">
      <sharedItems containsSemiMixedTypes="0" containsString="0" containsNumber="1" containsInteger="1" minValue="10" maxValue="10"/>
    </cacheField>
    <cacheField name="P83 - finLocation_base2TE [cm]" numFmtId="0">
      <sharedItems containsSemiMixedTypes="0" containsString="0" containsNumber="1" containsInteger="1" minValue="4" maxValue="4"/>
    </cacheField>
    <cacheField name="P84 - enlarging [cm]" numFmtId="0">
      <sharedItems containsSemiMixedTypes="0" containsString="0" containsNumber="1" containsInteger="1" minValue="10" maxValue="10"/>
    </cacheField>
    <cacheField name="P85 - semi_span [m]" numFmtId="0">
      <sharedItems containsSemiMixedTypes="0" containsString="0" containsNumber="1" minValue="9.7449999999999995E-2" maxValue="9.7449999999999995E-2"/>
    </cacheField>
    <cacheField name="P88 - sweepLength [m]" numFmtId="0">
      <sharedItems containsSemiMixedTypes="0" containsString="0" containsNumber="1" minValue="8.3909963117727998E-2" maxValue="8.3909963117727998E-2"/>
    </cacheField>
    <cacheField name="P89 - sweepAngle [degree]" numFmtId="0">
      <sharedItems containsSemiMixedTypes="0" containsString="0" containsNumber="1" containsInteger="1" minValue="40" maxValue="40"/>
    </cacheField>
    <cacheField name="P91 - velocity_incompressible [m s^-1]" numFmtId="0">
      <sharedItems containsSemiMixedTypes="0" containsString="0" containsNumber="1" minValue="17.008703654305901" maxValue="102.052221925835"/>
    </cacheField>
    <cacheField name="P95 - Mach_incompressible" numFmtId="0">
      <sharedItems containsSemiMixedTypes="0" containsString="0" containsNumber="1" minValue="0.05" maxValue="0.3" count="3">
        <n v="0.05"/>
        <n v="0.1"/>
        <n v="0.3"/>
      </sharedItems>
    </cacheField>
    <cacheField name="P97 - AoA_incompressible [degree]" numFmtId="0">
      <sharedItems containsSemiMixedTypes="0" containsString="0" containsNumber="1" containsInteger="1" minValue="0" maxValue="50" count="8">
        <n v="0"/>
        <n v="5"/>
        <n v="10"/>
        <n v="15"/>
        <n v="20"/>
        <n v="25"/>
        <n v="35"/>
        <n v="50"/>
      </sharedItems>
    </cacheField>
    <cacheField name="P101 - AoA_compressible [degree]" numFmtId="0">
      <sharedItems containsSemiMixedTypes="0" containsString="0" containsNumber="1" containsInteger="1" minValue="0" maxValue="50" count="8">
        <n v="0"/>
        <n v="5"/>
        <n v="10"/>
        <n v="15"/>
        <n v="20"/>
        <n v="25"/>
        <n v="35"/>
        <n v="50"/>
      </sharedItems>
    </cacheField>
    <cacheField name="P108 - velocityIn [m s^-1]" numFmtId="0">
      <sharedItems containsSemiMixedTypes="0" containsString="0" containsNumber="1" minValue="102.052221925835" maxValue="204.10444385167099"/>
    </cacheField>
    <cacheField name="P109 - temperatureAmbient [K]" numFmtId="0">
      <sharedItems containsSemiMixedTypes="0" containsString="0" containsNumber="1" containsInteger="1" minValue="288" maxValue="288"/>
    </cacheField>
    <cacheField name="P105 - sideforce-incompressible-op [N]" numFmtId="0">
      <sharedItems containsSemiMixedTypes="0" containsString="0" containsNumber="1" minValue="3.9146301999999997E-3" maxValue="365.38911000000002"/>
    </cacheField>
    <cacheField name="P106 - lift-force-incompressible-op [N]" numFmtId="0">
      <sharedItems containsSemiMixedTypes="0" containsString="0" containsNumber="1" minValue="-7.7409260999999993E-2" maxValue="26.118261"/>
    </cacheField>
    <cacheField name="P107 - drag-force-incompressible-op [N]" numFmtId="0">
      <sharedItems containsSemiMixedTypes="0" containsString="0" containsNumber="1" minValue="-460.54473999999999" maxValue="-0.86496737000000001"/>
    </cacheField>
    <cacheField name="P110 - side-force-op [N]" numFmtId="0">
      <sharedItems containsSemiMixedTypes="0" containsString="0" containsNumber="1" minValue="-1895.6341" maxValue="1220.2583999999999"/>
    </cacheField>
    <cacheField name="P111 - lift-force-op [N]" numFmtId="0">
      <sharedItems containsSemiMixedTypes="0" containsString="0" containsNumber="1" minValue="-31.939931999999999" maxValue="12.840431000000001"/>
    </cacheField>
    <cacheField name="P112 - drag-force-op [N]" numFmtId="0">
      <sharedItems containsSemiMixedTypes="0" containsString="0" containsNumber="1" minValue="-901.23639000000003" maxValue="2106.2408" count="25">
        <n v="-73.019290999999996"/>
        <n v="-71.256328999999994"/>
        <n v="-82.615227000000004"/>
        <n v="-42.054347"/>
        <n v="-91.529393999999996"/>
        <n v="-107.04266"/>
        <n v="-70.935411000000002"/>
        <n v="-145.99617000000001"/>
        <n v="-170.94469000000001"/>
        <n v="-119.93186"/>
        <n v="-238.94354999999999"/>
        <n v="-271.36932000000002"/>
        <n v="-176.66747000000001"/>
        <n v="-348.54969999999997"/>
        <n v="-384.69619999999998"/>
        <n v="-247.31269"/>
        <n v="-491.40924999999999"/>
        <n v="-533.46954000000005"/>
        <n v="-438.90829000000002"/>
        <n v="-886.98393999999996"/>
        <n v="-901.23639000000003"/>
        <n v="1076.877"/>
        <n v="711.44835999999998"/>
        <n v="2106.2408"/>
        <n v="404.39039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DP 0"/>
    <n v="20"/>
    <n v="4.7449999999999999E-2"/>
    <n v="0.80999999999999905"/>
    <n v="142"/>
    <n v="1.5"/>
    <n v="1.2"/>
    <n v="1.6199999999999899"/>
    <n v="94.9"/>
    <n v="40"/>
    <n v="80"/>
    <n v="2300"/>
    <n v="16.2"/>
    <n v="32.4"/>
    <n v="1.8979999999999999"/>
    <n v="0.80999999999999905"/>
    <n v="25"/>
    <n v="15"/>
    <n v="10"/>
    <n v="4"/>
    <n v="10"/>
    <n v="9.7449999999999995E-2"/>
    <n v="4.7449999999999999E-2"/>
    <n v="8.3909963117727998E-2"/>
    <n v="40"/>
    <x v="0"/>
    <n v="101325"/>
    <n v="288"/>
    <n v="0.80999999999999905"/>
    <n v="20"/>
    <n v="4.7449999999999999E-2"/>
    <n v="0.80999999999999905"/>
    <n v="142"/>
    <n v="1.5"/>
    <n v="1.2"/>
    <n v="1.6199999999999899"/>
    <n v="94.9"/>
    <n v="40"/>
    <n v="80"/>
    <n v="2300"/>
    <n v="1550"/>
    <n v="2750"/>
    <n v="3200"/>
    <n v="0.80999999999999905"/>
    <n v="25"/>
    <n v="15"/>
    <n v="10"/>
    <n v="4"/>
    <n v="10"/>
    <n v="9.7449999999999995E-2"/>
    <n v="8.3909963117727998E-2"/>
    <n v="40"/>
    <n v="17.008703654305901"/>
    <x v="0"/>
    <x v="0"/>
    <x v="0"/>
    <n v="170.08703654305901"/>
    <n v="288"/>
    <n v="3.9146301999999997E-3"/>
    <n v="-1.3031208999999999E-3"/>
    <n v="-0.86496737000000001"/>
    <n v="-0.31943961999999998"/>
    <n v="0.16981572"/>
    <x v="0"/>
  </r>
  <r>
    <s v="DP 1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0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34.017407308611801"/>
    <x v="1"/>
    <x v="0"/>
    <x v="0"/>
    <n v="170.08703654305901"/>
    <n v="288"/>
    <n v="3.3958987000000003E-2"/>
    <n v="-4.4826305000000002E-3"/>
    <n v="-3.2469282000000002"/>
    <n v="0.70427556000000002"/>
    <n v="-0.40143084000000001"/>
    <x v="1"/>
  </r>
  <r>
    <s v="DP 2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1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0"/>
    <x v="0"/>
    <n v="204.10444385167099"/>
    <n v="288"/>
    <n v="0.38177032999999999"/>
    <n v="3.2533772000000002E-2"/>
    <n v="-28.018131"/>
    <n v="0.84455659999999999"/>
    <n v="-0.47210935999999998"/>
    <x v="2"/>
  </r>
  <r>
    <s v="DP 3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2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7.008703654305901"/>
    <x v="0"/>
    <x v="1"/>
    <x v="1"/>
    <n v="136.06962923444701"/>
    <n v="288"/>
    <n v="2.1649560999999999"/>
    <n v="-2.8605581999999999E-4"/>
    <n v="-1.0505834999999999"/>
    <n v="100.05605"/>
    <n v="-2.5341229999999999E-2"/>
    <x v="3"/>
  </r>
  <r>
    <s v="DP 4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0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34.017407308611801"/>
    <x v="1"/>
    <x v="1"/>
    <x v="1"/>
    <n v="170.08703654305901"/>
    <n v="288"/>
    <n v="8.7412323999999995"/>
    <n v="3.4682446999999999E-4"/>
    <n v="-4.0654627000000003"/>
    <n v="208.24943999999999"/>
    <n v="-0.24506836000000001"/>
    <x v="4"/>
  </r>
  <r>
    <s v="DP 5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1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1"/>
    <x v="1"/>
    <n v="204.10444385167099"/>
    <n v="288"/>
    <n v="80.441749000000002"/>
    <n v="2.7917249000000002E-2"/>
    <n v="-35.427132999999998"/>
    <n v="256.71417000000002"/>
    <n v="0.1464984"/>
    <x v="5"/>
  </r>
  <r>
    <s v="DP 6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2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7.008703654305901"/>
    <x v="0"/>
    <x v="2"/>
    <x v="2"/>
    <n v="136.06962923444701"/>
    <n v="288"/>
    <n v="4.1785649999999999"/>
    <n v="-9.4568099999999997E-4"/>
    <n v="-1.5957352"/>
    <n v="211.77043"/>
    <n v="-0.28023513"/>
    <x v="6"/>
  </r>
  <r>
    <s v="DP 7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0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34.017407308611801"/>
    <x v="1"/>
    <x v="2"/>
    <x v="2"/>
    <n v="170.08703654305901"/>
    <n v="288"/>
    <n v="16.898724000000001"/>
    <n v="1.8045354999999999E-2"/>
    <n v="-6.2361620000000002"/>
    <n v="424.22075000000001"/>
    <n v="-0.28853336000000002"/>
    <x v="7"/>
  </r>
  <r>
    <s v="DP 8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1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2"/>
    <x v="2"/>
    <n v="204.10444385167099"/>
    <n v="288"/>
    <n v="154.14713"/>
    <n v="0.13130802"/>
    <n v="-54.721609000000001"/>
    <n v="510.80961000000002"/>
    <n v="-0.35298541"/>
    <x v="8"/>
  </r>
  <r>
    <s v="DP 9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2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7.008703654305901"/>
    <x v="0"/>
    <x v="3"/>
    <x v="3"/>
    <n v="136.06962923444701"/>
    <n v="288"/>
    <n v="6.1501543999999999"/>
    <n v="8.4306660000000008E-6"/>
    <n v="-2.5117899000000001"/>
    <n v="322.6619"/>
    <n v="0.26632198000000001"/>
    <x v="9"/>
  </r>
  <r>
    <s v="DP 10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0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34.017407308611801"/>
    <x v="1"/>
    <x v="3"/>
    <x v="3"/>
    <n v="170.08703654305901"/>
    <n v="288"/>
    <n v="24.698730000000001"/>
    <n v="-6.4664218000000002E-3"/>
    <n v="-9.8616466000000003"/>
    <n v="631.74093000000005"/>
    <n v="-2.5929643999999998E-3"/>
    <x v="10"/>
  </r>
  <r>
    <s v="DP 11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1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3"/>
    <x v="3"/>
    <n v="204.10444385167099"/>
    <n v="288"/>
    <n v="222.56326999999999"/>
    <n v="-3.4119410000000003E-2"/>
    <n v="-86.745790999999997"/>
    <n v="727.22262000000001"/>
    <n v="0.42059501999999999"/>
    <x v="11"/>
  </r>
  <r>
    <s v="DP 12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2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7.008703654305901"/>
    <x v="0"/>
    <x v="4"/>
    <x v="4"/>
    <n v="136.06962923444701"/>
    <n v="288"/>
    <n v="7.8162080999999999"/>
    <n v="5.5383879000000004E-3"/>
    <n v="-3.7255885000000002"/>
    <n v="391.45317"/>
    <n v="-0.24681032"/>
    <x v="12"/>
  </r>
  <r>
    <s v="DP 13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0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34.017407308611801"/>
    <x v="1"/>
    <x v="4"/>
    <x v="4"/>
    <n v="170.08703654305901"/>
    <n v="288"/>
    <n v="31.276143999999999"/>
    <n v="1.8500091999999999E-2"/>
    <n v="-14.669701"/>
    <n v="759.4547"/>
    <n v="0.18323596"/>
    <x v="13"/>
  </r>
  <r>
    <s v="DP 14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1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4"/>
    <x v="4"/>
    <n v="204.10444385167099"/>
    <n v="288"/>
    <n v="277.19171"/>
    <n v="0.26150472000000002"/>
    <n v="-128.10597000000001"/>
    <n v="847.01139999999998"/>
    <n v="-1.4347733"/>
    <x v="14"/>
  </r>
  <r>
    <s v="DP 15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2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7.008703654305901"/>
    <x v="0"/>
    <x v="5"/>
    <x v="5"/>
    <n v="136.06962923444701"/>
    <n v="288"/>
    <n v="9.4735691000000006"/>
    <n v="1.6829125E-2"/>
    <n v="-5.2864034000000002"/>
    <n v="463.02415000000002"/>
    <n v="-4.3155482000000003"/>
    <x v="15"/>
  </r>
  <r>
    <s v="DP 16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0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34.017407308611801"/>
    <x v="1"/>
    <x v="5"/>
    <x v="5"/>
    <n v="170.08703654305901"/>
    <n v="288"/>
    <n v="37.467495999999997"/>
    <n v="9.1280352000000006E-3"/>
    <n v="-20.692437000000002"/>
    <n v="908.57574"/>
    <n v="-2.8138871000000001"/>
    <x v="16"/>
  </r>
  <r>
    <s v="DP 17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1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5"/>
    <x v="5"/>
    <n v="204.10444385167099"/>
    <n v="288"/>
    <n v="323.21897000000001"/>
    <n v="0.78103800999999995"/>
    <n v="-177.71427"/>
    <n v="993.27755999999999"/>
    <n v="-5.2316639"/>
    <x v="17"/>
  </r>
  <r>
    <s v="DP 18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2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7.008703654305901"/>
    <x v="0"/>
    <x v="6"/>
    <x v="6"/>
    <n v="136.06962923444701"/>
    <n v="288"/>
    <n v="11.708173"/>
    <n v="-7.7409260999999993E-2"/>
    <n v="-9.0154271999999995"/>
    <n v="594.00157000000002"/>
    <n v="-9.6083058999999995"/>
    <x v="18"/>
  </r>
  <r>
    <s v="DP 19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0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34.017407308611801"/>
    <x v="1"/>
    <x v="6"/>
    <x v="6"/>
    <n v="170.08703654305901"/>
    <n v="288"/>
    <n v="44.386256000000003"/>
    <n v="6.3491696E-2"/>
    <n v="-34.071827999999897"/>
    <n v="1194.9487999999999"/>
    <n v="-6.0994853000000004"/>
    <x v="19"/>
  </r>
  <r>
    <s v="DP 20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1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6"/>
    <x v="6"/>
    <n v="204.10444385167099"/>
    <n v="288"/>
    <n v="357.17925000000002"/>
    <n v="3.1299296999999999"/>
    <n v="-277.47521"/>
    <n v="1220.2583999999999"/>
    <n v="-31.939931999999999"/>
    <x v="20"/>
  </r>
  <r>
    <s v="DP 21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2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7.008703654305901"/>
    <x v="0"/>
    <x v="7"/>
    <x v="7"/>
    <n v="136.06962923444701"/>
    <n v="288"/>
    <n v="11.802740999999999"/>
    <n v="0.37374401000000002"/>
    <n v="-14.854170999999999"/>
    <n v="-972.33507999999995"/>
    <n v="12.840431000000001"/>
    <x v="21"/>
  </r>
  <r>
    <s v="DP 22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0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34.017407308611801"/>
    <x v="1"/>
    <x v="7"/>
    <x v="7"/>
    <n v="170.08703654305901"/>
    <n v="288"/>
    <n v="46.088928000000003"/>
    <n v="1.9967689"/>
    <n v="-57.935675000000003"/>
    <n v="-643.00588000000005"/>
    <n v="-11.210037"/>
    <x v="22"/>
  </r>
  <r>
    <s v="DP 23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1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7"/>
    <x v="7"/>
    <n v="204.10444385167099"/>
    <n v="288"/>
    <n v="365.38911000000002"/>
    <n v="26.118261"/>
    <n v="-460.54473999999999"/>
    <n v="-1895.6341"/>
    <n v="9.1766457999999993"/>
    <x v="23"/>
  </r>
  <r>
    <s v="DP 24"/>
    <n v="20"/>
    <n v="4.7449999999999999E-2"/>
    <n v="0.76"/>
    <n v="132"/>
    <n v="1.5"/>
    <n v="1.2"/>
    <n v="1.52"/>
    <n v="94.9"/>
    <n v="40"/>
    <n v="80"/>
    <n v="2300"/>
    <n v="15.2"/>
    <n v="30.4"/>
    <n v="1.8979999999999999"/>
    <n v="0.76"/>
    <n v="25"/>
    <n v="15"/>
    <n v="10"/>
    <n v="4"/>
    <n v="10"/>
    <n v="9.7449999999999995E-2"/>
    <n v="4.7449999999999999E-2"/>
    <n v="8.3909963117727998E-2"/>
    <n v="40"/>
    <x v="3"/>
    <n v="101325"/>
    <n v="288"/>
    <n v="0.76"/>
    <n v="20"/>
    <n v="4.7449999999999999E-2"/>
    <n v="0.76"/>
    <n v="132"/>
    <n v="1.5"/>
    <n v="1.2"/>
    <n v="1.52"/>
    <n v="94.9"/>
    <n v="40"/>
    <n v="80"/>
    <n v="2300"/>
    <n v="1550"/>
    <n v="2750"/>
    <n v="3200"/>
    <n v="0.76"/>
    <n v="25"/>
    <n v="15"/>
    <n v="10"/>
    <n v="4"/>
    <n v="10"/>
    <n v="9.7449999999999995E-2"/>
    <n v="8.3909963117727998E-2"/>
    <n v="40"/>
    <n v="102.052221925835"/>
    <x v="2"/>
    <x v="7"/>
    <x v="7"/>
    <n v="102.052221925835"/>
    <n v="288"/>
    <n v="365.38911000000002"/>
    <n v="26.118261"/>
    <n v="-460.54473999999999"/>
    <n v="-366.43450000000001"/>
    <n v="3.6023936000000001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00A29-F805-4CA9-92FB-19796EDD22A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21" firstHeaderRow="0" firstDataRow="1" firstDataCol="1" rowPageCount="2" colPageCount="1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26">
        <item x="20"/>
        <item x="19"/>
        <item x="17"/>
        <item x="16"/>
        <item x="18"/>
        <item x="14"/>
        <item x="13"/>
        <item x="11"/>
        <item x="15"/>
        <item x="10"/>
        <item x="12"/>
        <item x="8"/>
        <item x="7"/>
        <item x="9"/>
        <item x="5"/>
        <item x="4"/>
        <item x="2"/>
        <item x="0"/>
        <item x="1"/>
        <item x="6"/>
        <item x="3"/>
        <item x="24"/>
        <item x="22"/>
        <item x="21"/>
        <item x="23"/>
        <item t="default"/>
      </items>
    </pivotField>
  </pivotFields>
  <rowFields count="2">
    <field x="54"/>
    <field x="55"/>
  </rowFields>
  <rowItems count="17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53" hier="-1"/>
    <pageField fld="25" hier="-1"/>
  </pageFields>
  <dataFields count="6">
    <dataField name="Sum of P111 - lift-force-op [N]" fld="62" baseField="0" baseItem="0"/>
    <dataField name="Sum of P110 - side-force-op [N]" fld="61" baseField="0" baseItem="0"/>
    <dataField name="Sum of P105 - sideforce-incompressible-op [N]" fld="58" baseField="0" baseItem="0"/>
    <dataField name="Sum of P112 - drag-force-op [N]" fld="63" baseField="0" baseItem="0"/>
    <dataField name="Sum of P106 - lift-force-incompressible-op [N]" fld="59" baseField="0" baseItem="0"/>
    <dataField name="Sum of P107 - drag-force-incompressible-op [N]" fld="6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5C7D6-643E-451A-B381-86C985ABAB50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4:C93" firstHeaderRow="0" firstDataRow="1" firstDataCol="1" rowPageCount="1" colPageCount="1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2"/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h="1" x="0"/>
        <item h="1" x="1"/>
        <item x="2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26">
        <item x="20"/>
        <item x="19"/>
        <item x="17"/>
        <item x="16"/>
        <item x="18"/>
        <item x="14"/>
        <item x="13"/>
        <item x="11"/>
        <item x="15"/>
        <item x="10"/>
        <item x="12"/>
        <item x="8"/>
        <item x="7"/>
        <item x="9"/>
        <item x="5"/>
        <item x="4"/>
        <item x="2"/>
        <item x="0"/>
        <item x="1"/>
        <item x="6"/>
        <item x="3"/>
        <item x="24"/>
        <item x="22"/>
        <item x="21"/>
        <item x="23"/>
        <item t="default"/>
      </items>
    </pivotField>
  </pivotFields>
  <rowFields count="1">
    <field x="5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 of P111 - lift-force-op [N]" fld="62" baseField="0" baseItem="0"/>
    <dataField name="Sum of P112 - drag-force-op [N]" fld="63" baseField="0" baseItem="0"/>
  </dataFields>
  <formats count="1">
    <format dxfId="11">
      <pivotArea field="54" type="button" dataOnly="0" labelOnly="1" outline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22B4D-9606-4822-B860-532D7BCBFE87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1:D80" firstHeaderRow="0" firstDataRow="1" firstDataCol="1" rowPageCount="1" colPageCount="1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h="1" x="0"/>
        <item h="1" x="1"/>
        <item x="2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>
      <items count="26">
        <item x="20"/>
        <item x="19"/>
        <item x="17"/>
        <item x="16"/>
        <item x="18"/>
        <item x="14"/>
        <item x="13"/>
        <item x="11"/>
        <item x="15"/>
        <item x="10"/>
        <item x="12"/>
        <item x="8"/>
        <item x="7"/>
        <item x="9"/>
        <item x="5"/>
        <item x="4"/>
        <item x="2"/>
        <item x="0"/>
        <item x="1"/>
        <item x="6"/>
        <item x="3"/>
        <item x="24"/>
        <item x="22"/>
        <item x="21"/>
        <item x="23"/>
        <item t="default"/>
      </items>
    </pivotField>
  </pivotFields>
  <rowFields count="1">
    <field x="5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5" hier="-1"/>
  </pageFields>
  <dataFields count="3">
    <dataField name="Sum of P111 - lift-force-op [N]" fld="62" baseField="0" baseItem="0"/>
    <dataField name="Sum of P112 - drag-force-op [N]" fld="63" baseField="0" baseItem="0"/>
    <dataField name="Sum of P110 - side-force-op [N]" fld="61" baseField="0" baseItem="0"/>
  </dataFields>
  <formats count="1">
    <format dxfId="15">
      <pivotArea field="54" type="button" dataOnly="0" labelOnly="1" outline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848B3-5BF5-415C-9A3D-039058011C0B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C66" firstHeaderRow="0" firstDataRow="1" firstDataCol="1" rowPageCount="1" colPageCount="1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h="1" x="0"/>
        <item h="1" x="1"/>
        <item x="2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26">
        <item x="20"/>
        <item x="19"/>
        <item x="17"/>
        <item x="16"/>
        <item x="18"/>
        <item x="14"/>
        <item x="13"/>
        <item x="11"/>
        <item x="15"/>
        <item x="10"/>
        <item x="12"/>
        <item x="8"/>
        <item x="7"/>
        <item x="9"/>
        <item x="5"/>
        <item x="4"/>
        <item x="2"/>
        <item x="0"/>
        <item x="1"/>
        <item x="6"/>
        <item x="3"/>
        <item x="24"/>
        <item x="22"/>
        <item x="21"/>
        <item x="23"/>
        <item t="default"/>
      </items>
    </pivotField>
  </pivotFields>
  <rowFields count="1">
    <field x="55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Sum of P111 - lift-force-op [N]" fld="62" baseField="0" baseItem="0"/>
    <dataField name="Sum of P112 - drag-force-op [N]" fld="63" baseField="0" baseItem="0"/>
  </dataFields>
  <formats count="1">
    <format dxfId="16">
      <pivotArea field="54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EB81F-A261-413E-BB66-14F108494F48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D47" firstHeaderRow="0" firstDataRow="1" firstDataCol="1" rowPageCount="1" colPageCount="1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3"/>
        <item h="1"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h="1" x="0"/>
        <item h="1" x="1"/>
        <item x="2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>
      <items count="26">
        <item x="20"/>
        <item x="19"/>
        <item x="17"/>
        <item x="16"/>
        <item x="18"/>
        <item x="14"/>
        <item x="13"/>
        <item x="11"/>
        <item x="15"/>
        <item x="10"/>
        <item x="12"/>
        <item x="8"/>
        <item x="7"/>
        <item x="9"/>
        <item x="5"/>
        <item x="4"/>
        <item x="2"/>
        <item x="0"/>
        <item x="1"/>
        <item x="6"/>
        <item x="3"/>
        <item x="24"/>
        <item x="22"/>
        <item x="21"/>
        <item x="23"/>
        <item t="default"/>
      </items>
    </pivotField>
  </pivotFields>
  <rowFields count="1">
    <field x="55"/>
  </rowFields>
  <rowItems count="2"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5" hier="-1"/>
  </pageFields>
  <dataFields count="3">
    <dataField name="Sum of P110 - side-force-op [N]" fld="61" baseField="0" baseItem="0"/>
    <dataField name="Sum of P111 - lift-force-op [N]" fld="62" baseField="0" baseItem="0"/>
    <dataField name="Sum of P112 - drag-force-op [N]" fld="63" baseField="0" baseItem="0"/>
  </dataFields>
  <formats count="1">
    <format dxfId="35">
      <pivotArea field="54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86468-17B7-4366-9C0D-B40489716790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C39" firstHeaderRow="0" firstDataRow="1" firstDataCol="1" rowPageCount="1" colPageCount="1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26">
        <item x="20"/>
        <item x="19"/>
        <item x="17"/>
        <item x="16"/>
        <item x="18"/>
        <item x="14"/>
        <item x="13"/>
        <item x="11"/>
        <item x="15"/>
        <item x="10"/>
        <item x="12"/>
        <item x="8"/>
        <item x="7"/>
        <item x="9"/>
        <item x="5"/>
        <item x="4"/>
        <item x="2"/>
        <item x="0"/>
        <item x="1"/>
        <item x="6"/>
        <item x="3"/>
        <item x="24"/>
        <item x="22"/>
        <item x="21"/>
        <item x="23"/>
        <item t="default"/>
      </items>
    </pivotField>
  </pivotFields>
  <rowFields count="1">
    <field x="5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53" hier="-1"/>
  </pageFields>
  <dataFields count="2">
    <dataField name="Sum of P106 - lift-force-incompressible-op [N]" fld="59" baseField="0" baseItem="0"/>
    <dataField name="Sum of P107 - drag-force-incompressible-op [N]" fld="60" baseField="0" baseItem="0"/>
  </dataFields>
  <formats count="2">
    <format dxfId="36">
      <pivotArea field="54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7A478-7B77-4577-9477-AF77AE8C209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C26" firstHeaderRow="0" firstDataRow="1" firstDataCol="1" rowPageCount="1" colPageCount="1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26">
        <item x="20"/>
        <item x="19"/>
        <item x="17"/>
        <item x="16"/>
        <item x="18"/>
        <item x="14"/>
        <item x="13"/>
        <item x="11"/>
        <item x="15"/>
        <item x="10"/>
        <item x="12"/>
        <item x="8"/>
        <item x="7"/>
        <item x="9"/>
        <item x="5"/>
        <item x="4"/>
        <item x="2"/>
        <item x="0"/>
        <item x="1"/>
        <item x="6"/>
        <item x="3"/>
        <item x="24"/>
        <item x="22"/>
        <item x="21"/>
        <item x="23"/>
        <item t="default"/>
      </items>
    </pivotField>
  </pivotFields>
  <rowFields count="1">
    <field x="5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53" hier="-1"/>
  </pageFields>
  <dataFields count="2">
    <dataField name="Sum of P106 - lift-force-incompressible-op [N]" fld="59" baseField="0" baseItem="0"/>
    <dataField name="Sum of P107 - drag-force-incompressible-op [N]" fld="60" baseField="0" baseItem="0"/>
  </dataFields>
  <formats count="2">
    <format dxfId="38">
      <pivotArea field="54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66111-CC54-4CB9-88AD-1FD054B8883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3" firstHeaderRow="0" firstDataRow="1" firstDataCol="1" rowPageCount="1" colPageCount="1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26">
        <item x="20"/>
        <item x="19"/>
        <item x="17"/>
        <item x="16"/>
        <item x="18"/>
        <item x="14"/>
        <item x="13"/>
        <item x="11"/>
        <item x="15"/>
        <item x="10"/>
        <item x="12"/>
        <item x="8"/>
        <item x="7"/>
        <item x="9"/>
        <item x="5"/>
        <item x="4"/>
        <item x="2"/>
        <item x="0"/>
        <item x="1"/>
        <item x="6"/>
        <item x="3"/>
        <item x="24"/>
        <item x="22"/>
        <item x="21"/>
        <item x="23"/>
        <item t="default"/>
      </items>
    </pivotField>
  </pivotFields>
  <rowFields count="1">
    <field x="5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53" hier="-1"/>
  </pageFields>
  <dataFields count="2">
    <dataField name="Sum of P106 - lift-force-incompressible-op [N]" fld="59" baseField="0" baseItem="0"/>
    <dataField name="Sum of P107 - drag-force-incompressible-op [N]" fld="60" baseField="0" baseItem="0"/>
  </dataFields>
  <formats count="2">
    <format dxfId="41">
      <pivotArea field="54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97EC-497D-469E-8CDF-FE6427E8DA04}">
  <dimension ref="A1:G21"/>
  <sheetViews>
    <sheetView workbookViewId="0">
      <selection sqref="A1:XFD21"/>
    </sheetView>
  </sheetViews>
  <sheetFormatPr defaultRowHeight="14.5" x14ac:dyDescent="0.35"/>
  <cols>
    <col min="1" max="1" width="24.54296875" bestFit="1" customWidth="1"/>
    <col min="2" max="2" width="27" bestFit="1" customWidth="1"/>
    <col min="3" max="3" width="28.36328125" bestFit="1" customWidth="1"/>
    <col min="4" max="4" width="42.08984375" bestFit="1" customWidth="1"/>
    <col min="5" max="5" width="28.36328125" bestFit="1" customWidth="1"/>
    <col min="6" max="6" width="41.54296875" bestFit="1" customWidth="1"/>
    <col min="7" max="7" width="42.81640625" bestFit="1" customWidth="1"/>
    <col min="8" max="9" width="10.81640625" bestFit="1" customWidth="1"/>
    <col min="10" max="10" width="10.453125" bestFit="1" customWidth="1"/>
    <col min="11" max="11" width="12.453125" bestFit="1" customWidth="1"/>
    <col min="12" max="14" width="11.453125" bestFit="1" customWidth="1"/>
    <col min="15" max="15" width="10.81640625" bestFit="1" customWidth="1"/>
    <col min="16" max="16" width="10.453125" bestFit="1" customWidth="1"/>
    <col min="17" max="18" width="11.453125" bestFit="1" customWidth="1"/>
    <col min="19" max="19" width="10.81640625" bestFit="1" customWidth="1"/>
    <col min="20" max="22" width="11.453125" bestFit="1" customWidth="1"/>
    <col min="23" max="23" width="9.81640625" bestFit="1" customWidth="1"/>
    <col min="24" max="24" width="10.453125" bestFit="1" customWidth="1"/>
    <col min="25" max="26" width="9.81640625" bestFit="1" customWidth="1"/>
    <col min="27" max="27" width="28.36328125" bestFit="1" customWidth="1"/>
    <col min="28" max="31" width="10.453125" bestFit="1" customWidth="1"/>
    <col min="32" max="33" width="9.453125" bestFit="1" customWidth="1"/>
    <col min="34" max="43" width="10.453125" bestFit="1" customWidth="1"/>
    <col min="44" max="44" width="11.453125" bestFit="1" customWidth="1"/>
    <col min="45" max="45" width="10.81640625" bestFit="1" customWidth="1"/>
    <col min="46" max="47" width="10.453125" bestFit="1" customWidth="1"/>
    <col min="48" max="48" width="9.81640625" bestFit="1" customWidth="1"/>
    <col min="49" max="51" width="10.453125" bestFit="1" customWidth="1"/>
    <col min="52" max="52" width="42.08984375" bestFit="1" customWidth="1"/>
    <col min="53" max="56" width="10.453125" bestFit="1" customWidth="1"/>
    <col min="57" max="58" width="9.81640625" bestFit="1" customWidth="1"/>
    <col min="59" max="67" width="10.453125" bestFit="1" customWidth="1"/>
    <col min="68" max="69" width="10.81640625" bestFit="1" customWidth="1"/>
    <col min="70" max="70" width="11.81640625" bestFit="1" customWidth="1"/>
    <col min="71" max="72" width="10.453125" bestFit="1" customWidth="1"/>
    <col min="73" max="76" width="9.81640625" bestFit="1" customWidth="1"/>
    <col min="77" max="77" width="41.54296875" bestFit="1" customWidth="1"/>
    <col min="78" max="78" width="11.81640625" bestFit="1" customWidth="1"/>
    <col min="79" max="79" width="10.81640625" bestFit="1" customWidth="1"/>
    <col min="80" max="80" width="11.81640625" bestFit="1" customWidth="1"/>
    <col min="81" max="81" width="12.453125" bestFit="1" customWidth="1"/>
    <col min="82" max="82" width="10.81640625" bestFit="1" customWidth="1"/>
    <col min="83" max="83" width="11.81640625" bestFit="1" customWidth="1"/>
    <col min="84" max="84" width="11.453125" bestFit="1" customWidth="1"/>
    <col min="85" max="85" width="11.81640625" bestFit="1" customWidth="1"/>
    <col min="86" max="86" width="12.453125" bestFit="1" customWidth="1"/>
    <col min="87" max="87" width="11.81640625" bestFit="1" customWidth="1"/>
    <col min="88" max="88" width="10.81640625" bestFit="1" customWidth="1"/>
    <col min="89" max="93" width="11.81640625" bestFit="1" customWidth="1"/>
    <col min="94" max="97" width="12.453125" bestFit="1" customWidth="1"/>
    <col min="98" max="99" width="9.81640625" bestFit="1" customWidth="1"/>
    <col min="100" max="100" width="10.81640625" bestFit="1" customWidth="1"/>
    <col min="101" max="101" width="9.81640625" bestFit="1" customWidth="1"/>
    <col min="102" max="102" width="42.81640625" bestFit="1" customWidth="1"/>
    <col min="103" max="118" width="10.453125" bestFit="1" customWidth="1"/>
    <col min="119" max="119" width="11.453125" bestFit="1" customWidth="1"/>
    <col min="120" max="126" width="10.453125" bestFit="1" customWidth="1"/>
    <col min="127" max="127" width="31.7265625" bestFit="1" customWidth="1"/>
    <col min="128" max="128" width="33.08984375" bestFit="1" customWidth="1"/>
    <col min="129" max="129" width="46.90625" bestFit="1" customWidth="1"/>
    <col min="130" max="130" width="46.36328125" bestFit="1" customWidth="1"/>
    <col min="131" max="131" width="47.54296875" bestFit="1" customWidth="1"/>
  </cols>
  <sheetData>
    <row r="1" spans="1:7" x14ac:dyDescent="0.35">
      <c r="A1" s="3" t="s">
        <v>55</v>
      </c>
      <c r="B1" t="s">
        <v>97</v>
      </c>
    </row>
    <row r="2" spans="1:7" x14ac:dyDescent="0.35">
      <c r="A2" s="3" t="s">
        <v>27</v>
      </c>
      <c r="B2" t="s">
        <v>97</v>
      </c>
    </row>
    <row r="4" spans="1:7" x14ac:dyDescent="0.35">
      <c r="A4" s="3" t="s">
        <v>98</v>
      </c>
      <c r="B4" t="s">
        <v>92</v>
      </c>
      <c r="C4" t="s">
        <v>93</v>
      </c>
      <c r="D4" t="s">
        <v>94</v>
      </c>
      <c r="E4" t="s">
        <v>91</v>
      </c>
      <c r="F4" t="s">
        <v>95</v>
      </c>
      <c r="G4" t="s">
        <v>96</v>
      </c>
    </row>
    <row r="5" spans="1:7" x14ac:dyDescent="0.35">
      <c r="A5" s="4">
        <v>0</v>
      </c>
      <c r="B5" s="2">
        <v>-0.70372447999999999</v>
      </c>
      <c r="C5" s="2">
        <v>1.2293925400000001</v>
      </c>
      <c r="D5" s="2">
        <v>0.41964394719999998</v>
      </c>
      <c r="E5" s="2">
        <v>-226.89084700000001</v>
      </c>
      <c r="F5" s="2">
        <v>2.6748020600000002E-2</v>
      </c>
      <c r="G5" s="2">
        <v>-32.130026569999998</v>
      </c>
    </row>
    <row r="6" spans="1:7" x14ac:dyDescent="0.35">
      <c r="A6" s="5">
        <v>0</v>
      </c>
      <c r="B6" s="2">
        <v>-0.70372447999999999</v>
      </c>
      <c r="C6" s="2">
        <v>1.2293925400000001</v>
      </c>
      <c r="D6" s="2">
        <v>0.41964394719999998</v>
      </c>
      <c r="E6" s="2">
        <v>-226.89084700000001</v>
      </c>
      <c r="F6" s="2">
        <v>2.6748020600000002E-2</v>
      </c>
      <c r="G6" s="2">
        <v>-32.130026569999998</v>
      </c>
    </row>
    <row r="7" spans="1:7" x14ac:dyDescent="0.35">
      <c r="A7" s="4">
        <v>5</v>
      </c>
      <c r="B7" s="2">
        <v>-0.12391119000000003</v>
      </c>
      <c r="C7" s="2">
        <v>565.01965999999993</v>
      </c>
      <c r="D7" s="2">
        <v>91.3479375</v>
      </c>
      <c r="E7" s="2">
        <v>-240.62640099999999</v>
      </c>
      <c r="F7" s="2">
        <v>2.7978017650000003E-2</v>
      </c>
      <c r="G7" s="2">
        <v>-40.543179199999997</v>
      </c>
    </row>
    <row r="8" spans="1:7" x14ac:dyDescent="0.35">
      <c r="A8" s="5">
        <v>5</v>
      </c>
      <c r="B8" s="2">
        <v>-0.12391119000000003</v>
      </c>
      <c r="C8" s="2">
        <v>565.01965999999993</v>
      </c>
      <c r="D8" s="2">
        <v>91.3479375</v>
      </c>
      <c r="E8" s="2">
        <v>-240.62640099999999</v>
      </c>
      <c r="F8" s="2">
        <v>2.7978017650000003E-2</v>
      </c>
      <c r="G8" s="2">
        <v>-40.543179199999997</v>
      </c>
    </row>
    <row r="9" spans="1:7" x14ac:dyDescent="0.35">
      <c r="A9" s="4">
        <v>10</v>
      </c>
      <c r="B9" s="2">
        <v>-0.92175390000000013</v>
      </c>
      <c r="C9" s="2">
        <v>1146.80079</v>
      </c>
      <c r="D9" s="2">
        <v>175.22441900000001</v>
      </c>
      <c r="E9" s="2">
        <v>-387.87627099999997</v>
      </c>
      <c r="F9" s="2">
        <v>0.14840769400000001</v>
      </c>
      <c r="G9" s="2">
        <v>-62.553506200000001</v>
      </c>
    </row>
    <row r="10" spans="1:7" x14ac:dyDescent="0.35">
      <c r="A10" s="5">
        <v>10</v>
      </c>
      <c r="B10" s="2">
        <v>-0.92175390000000013</v>
      </c>
      <c r="C10" s="2">
        <v>1146.80079</v>
      </c>
      <c r="D10" s="2">
        <v>175.22441900000001</v>
      </c>
      <c r="E10" s="2">
        <v>-387.87627099999997</v>
      </c>
      <c r="F10" s="2">
        <v>0.14840769400000001</v>
      </c>
      <c r="G10" s="2">
        <v>-62.553506200000001</v>
      </c>
    </row>
    <row r="11" spans="1:7" x14ac:dyDescent="0.35">
      <c r="A11" s="4">
        <v>15</v>
      </c>
      <c r="B11" s="2">
        <v>0.68432403559999999</v>
      </c>
      <c r="C11" s="2">
        <v>1681.62545</v>
      </c>
      <c r="D11" s="2">
        <v>253.41215439999999</v>
      </c>
      <c r="E11" s="2">
        <v>-630.24473</v>
      </c>
      <c r="F11" s="2">
        <v>-4.0577401134000005E-2</v>
      </c>
      <c r="G11" s="2">
        <v>-99.119227499999994</v>
      </c>
    </row>
    <row r="12" spans="1:7" x14ac:dyDescent="0.35">
      <c r="A12" s="5">
        <v>15</v>
      </c>
      <c r="B12" s="2">
        <v>0.68432403559999999</v>
      </c>
      <c r="C12" s="2">
        <v>1681.62545</v>
      </c>
      <c r="D12" s="2">
        <v>253.41215439999999</v>
      </c>
      <c r="E12" s="2">
        <v>-630.24473</v>
      </c>
      <c r="F12" s="2">
        <v>-4.0577401134000005E-2</v>
      </c>
      <c r="G12" s="2">
        <v>-99.119227499999994</v>
      </c>
    </row>
    <row r="13" spans="1:7" x14ac:dyDescent="0.35">
      <c r="A13" s="4">
        <v>20</v>
      </c>
      <c r="B13" s="2">
        <v>-1.4983476600000001</v>
      </c>
      <c r="C13" s="2">
        <v>1997.9192699999999</v>
      </c>
      <c r="D13" s="2">
        <v>316.28406210000003</v>
      </c>
      <c r="E13" s="2">
        <v>-909.91336999999999</v>
      </c>
      <c r="F13" s="2">
        <v>0.28554319990000004</v>
      </c>
      <c r="G13" s="2">
        <v>-146.5012595</v>
      </c>
    </row>
    <row r="14" spans="1:7" x14ac:dyDescent="0.35">
      <c r="A14" s="5">
        <v>20</v>
      </c>
      <c r="B14" s="2">
        <v>-1.4983476600000001</v>
      </c>
      <c r="C14" s="2">
        <v>1997.9192699999999</v>
      </c>
      <c r="D14" s="2">
        <v>316.28406210000003</v>
      </c>
      <c r="E14" s="2">
        <v>-909.91336999999999</v>
      </c>
      <c r="F14" s="2">
        <v>0.28554319990000004</v>
      </c>
      <c r="G14" s="2">
        <v>-146.5012595</v>
      </c>
    </row>
    <row r="15" spans="1:7" x14ac:dyDescent="0.35">
      <c r="A15" s="4">
        <v>25</v>
      </c>
      <c r="B15" s="2">
        <v>-12.361099200000002</v>
      </c>
      <c r="C15" s="2">
        <v>2364.87745</v>
      </c>
      <c r="D15" s="2">
        <v>370.16003510000002</v>
      </c>
      <c r="E15" s="2">
        <v>-1272.19148</v>
      </c>
      <c r="F15" s="2">
        <v>0.8069951702</v>
      </c>
      <c r="G15" s="2">
        <v>-203.69311039999999</v>
      </c>
    </row>
    <row r="16" spans="1:7" x14ac:dyDescent="0.35">
      <c r="A16" s="5">
        <v>25</v>
      </c>
      <c r="B16" s="2">
        <v>-12.361099200000002</v>
      </c>
      <c r="C16" s="2">
        <v>2364.87745</v>
      </c>
      <c r="D16" s="2">
        <v>370.16003510000002</v>
      </c>
      <c r="E16" s="2">
        <v>-1272.19148</v>
      </c>
      <c r="F16" s="2">
        <v>0.8069951702</v>
      </c>
      <c r="G16" s="2">
        <v>-203.69311039999999</v>
      </c>
    </row>
    <row r="17" spans="1:7" x14ac:dyDescent="0.35">
      <c r="A17" s="4">
        <v>35</v>
      </c>
      <c r="B17" s="2">
        <v>-47.647723200000001</v>
      </c>
      <c r="C17" s="2">
        <v>3009.2087700000002</v>
      </c>
      <c r="D17" s="2">
        <v>413.27367900000002</v>
      </c>
      <c r="E17" s="2">
        <v>-2227.12862</v>
      </c>
      <c r="F17" s="2">
        <v>3.1160121350000001</v>
      </c>
      <c r="G17" s="2">
        <v>-320.56246519999991</v>
      </c>
    </row>
    <row r="18" spans="1:7" x14ac:dyDescent="0.35">
      <c r="A18" s="5">
        <v>35</v>
      </c>
      <c r="B18" s="2">
        <v>-47.647723200000001</v>
      </c>
      <c r="C18" s="2">
        <v>3009.2087700000002</v>
      </c>
      <c r="D18" s="2">
        <v>413.27367900000002</v>
      </c>
      <c r="E18" s="2">
        <v>-2227.12862</v>
      </c>
      <c r="F18" s="2">
        <v>3.1160121350000001</v>
      </c>
      <c r="G18" s="2">
        <v>-320.56246519999991</v>
      </c>
    </row>
    <row r="19" spans="1:7" x14ac:dyDescent="0.35">
      <c r="A19" s="4">
        <v>50</v>
      </c>
      <c r="B19" s="2">
        <v>14.409433400000001</v>
      </c>
      <c r="C19" s="2">
        <v>-3877.4095599999996</v>
      </c>
      <c r="D19" s="2">
        <v>788.66988900000001</v>
      </c>
      <c r="E19" s="2">
        <v>4298.9565499999999</v>
      </c>
      <c r="F19" s="2">
        <v>54.607034909999996</v>
      </c>
      <c r="G19" s="2">
        <v>-993.87932599999999</v>
      </c>
    </row>
    <row r="20" spans="1:7" x14ac:dyDescent="0.35">
      <c r="A20" s="5">
        <v>50</v>
      </c>
      <c r="B20" s="2">
        <v>14.409433400000001</v>
      </c>
      <c r="C20" s="2">
        <v>-3877.4095599999996</v>
      </c>
      <c r="D20" s="2">
        <v>788.66988900000001</v>
      </c>
      <c r="E20" s="2">
        <v>4298.9565499999999</v>
      </c>
      <c r="F20" s="2">
        <v>54.607034909999996</v>
      </c>
      <c r="G20" s="2">
        <v>-993.87932599999999</v>
      </c>
    </row>
    <row r="21" spans="1:7" x14ac:dyDescent="0.35">
      <c r="A21" s="4" t="s">
        <v>99</v>
      </c>
      <c r="B21" s="2">
        <v>-48.162802194400001</v>
      </c>
      <c r="C21" s="2">
        <v>6889.2712225399991</v>
      </c>
      <c r="D21" s="2">
        <v>2408.7918200472004</v>
      </c>
      <c r="E21" s="2">
        <v>-1595.9151689999999</v>
      </c>
      <c r="F21" s="2">
        <v>58.978141746215996</v>
      </c>
      <c r="G21" s="2">
        <v>-1898.9821005700001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D812-C487-4380-B894-1BB0DA4C2AA4}">
  <dimension ref="A1:E93"/>
  <sheetViews>
    <sheetView tabSelected="1" workbookViewId="0">
      <selection activeCell="D7" sqref="D7"/>
    </sheetView>
  </sheetViews>
  <sheetFormatPr defaultRowHeight="14.5" x14ac:dyDescent="0.35"/>
  <cols>
    <col min="1" max="1" width="13.90625" bestFit="1" customWidth="1"/>
    <col min="2" max="2" width="25.7265625" bestFit="1" customWidth="1"/>
    <col min="3" max="3" width="27" bestFit="1" customWidth="1"/>
    <col min="4" max="4" width="26.90625" bestFit="1" customWidth="1"/>
    <col min="5" max="5" width="28.36328125" bestFit="1" customWidth="1"/>
    <col min="6" max="7" width="42.81640625" bestFit="1" customWidth="1"/>
  </cols>
  <sheetData>
    <row r="1" spans="1:5" x14ac:dyDescent="0.35">
      <c r="D1" s="6" t="s">
        <v>100</v>
      </c>
      <c r="E1" s="7"/>
    </row>
    <row r="2" spans="1:5" x14ac:dyDescent="0.35">
      <c r="A2" s="3" t="s">
        <v>55</v>
      </c>
      <c r="B2" s="4">
        <v>0.05</v>
      </c>
    </row>
    <row r="4" spans="1:5" s="9" customFormat="1" ht="29" x14ac:dyDescent="0.35">
      <c r="A4" s="8" t="s">
        <v>98</v>
      </c>
      <c r="B4" s="9" t="s">
        <v>95</v>
      </c>
      <c r="C4" s="9" t="s">
        <v>96</v>
      </c>
      <c r="D4"/>
    </row>
    <row r="5" spans="1:5" x14ac:dyDescent="0.35">
      <c r="A5" s="4">
        <v>0</v>
      </c>
      <c r="B5" s="2">
        <v>-1.3031208999999999E-3</v>
      </c>
      <c r="C5" s="2">
        <v>-0.86496737000000001</v>
      </c>
    </row>
    <row r="6" spans="1:5" x14ac:dyDescent="0.35">
      <c r="A6" s="4">
        <v>5</v>
      </c>
      <c r="B6" s="2">
        <v>-2.8605581999999999E-4</v>
      </c>
      <c r="C6" s="2">
        <v>-1.0505834999999999</v>
      </c>
    </row>
    <row r="7" spans="1:5" x14ac:dyDescent="0.35">
      <c r="A7" s="4">
        <v>10</v>
      </c>
      <c r="B7" s="2">
        <v>-9.4568099999999997E-4</v>
      </c>
      <c r="C7" s="2">
        <v>-1.5957352</v>
      </c>
    </row>
    <row r="8" spans="1:5" x14ac:dyDescent="0.35">
      <c r="A8" s="4">
        <v>15</v>
      </c>
      <c r="B8" s="2">
        <v>8.4306660000000008E-6</v>
      </c>
      <c r="C8" s="2">
        <v>-2.5117899000000001</v>
      </c>
    </row>
    <row r="9" spans="1:5" x14ac:dyDescent="0.35">
      <c r="A9" s="4">
        <v>20</v>
      </c>
      <c r="B9" s="2">
        <v>5.5383879000000004E-3</v>
      </c>
      <c r="C9" s="2">
        <v>-3.7255885000000002</v>
      </c>
    </row>
    <row r="10" spans="1:5" x14ac:dyDescent="0.35">
      <c r="A10" s="4">
        <v>25</v>
      </c>
      <c r="B10" s="2">
        <v>1.6829125E-2</v>
      </c>
      <c r="C10" s="2">
        <v>-5.2864034000000002</v>
      </c>
    </row>
    <row r="11" spans="1:5" x14ac:dyDescent="0.35">
      <c r="A11" s="4">
        <v>35</v>
      </c>
      <c r="B11" s="2">
        <v>-7.7409260999999993E-2</v>
      </c>
      <c r="C11" s="2">
        <v>-9.0154271999999995</v>
      </c>
    </row>
    <row r="12" spans="1:5" x14ac:dyDescent="0.35">
      <c r="A12" s="4">
        <v>50</v>
      </c>
      <c r="B12" s="2">
        <v>0.37374401000000002</v>
      </c>
      <c r="C12" s="2">
        <v>-14.854170999999999</v>
      </c>
    </row>
    <row r="13" spans="1:5" x14ac:dyDescent="0.35">
      <c r="A13" s="4" t="s">
        <v>99</v>
      </c>
      <c r="B13" s="2">
        <v>0.31617583484600004</v>
      </c>
      <c r="C13" s="2">
        <v>-38.904666069999998</v>
      </c>
    </row>
    <row r="15" spans="1:5" x14ac:dyDescent="0.35">
      <c r="A15" s="3" t="s">
        <v>55</v>
      </c>
      <c r="B15" s="4">
        <v>0.1</v>
      </c>
    </row>
    <row r="17" spans="1:5" ht="29" x14ac:dyDescent="0.35">
      <c r="A17" s="8" t="s">
        <v>98</v>
      </c>
      <c r="B17" s="9" t="s">
        <v>95</v>
      </c>
      <c r="C17" s="9" t="s">
        <v>96</v>
      </c>
    </row>
    <row r="18" spans="1:5" x14ac:dyDescent="0.35">
      <c r="A18" s="4">
        <v>0</v>
      </c>
      <c r="B18" s="2">
        <v>-4.4826305000000002E-3</v>
      </c>
      <c r="C18" s="2">
        <v>-3.2469282000000002</v>
      </c>
    </row>
    <row r="19" spans="1:5" x14ac:dyDescent="0.35">
      <c r="A19" s="4">
        <v>5</v>
      </c>
      <c r="B19" s="2">
        <v>3.4682446999999999E-4</v>
      </c>
      <c r="C19" s="2">
        <v>-4.0654627000000003</v>
      </c>
      <c r="E19" s="10"/>
    </row>
    <row r="20" spans="1:5" x14ac:dyDescent="0.35">
      <c r="A20" s="4">
        <v>10</v>
      </c>
      <c r="B20" s="2">
        <v>1.8045354999999999E-2</v>
      </c>
      <c r="C20" s="2">
        <v>-6.2361620000000002</v>
      </c>
    </row>
    <row r="21" spans="1:5" x14ac:dyDescent="0.35">
      <c r="A21" s="4">
        <v>15</v>
      </c>
      <c r="B21" s="2">
        <v>-6.4664218000000002E-3</v>
      </c>
      <c r="C21" s="2">
        <v>-9.8616466000000003</v>
      </c>
    </row>
    <row r="22" spans="1:5" x14ac:dyDescent="0.35">
      <c r="A22" s="4">
        <v>20</v>
      </c>
      <c r="B22" s="2">
        <v>1.8500091999999999E-2</v>
      </c>
      <c r="C22" s="2">
        <v>-14.669701</v>
      </c>
    </row>
    <row r="23" spans="1:5" x14ac:dyDescent="0.35">
      <c r="A23" s="4">
        <v>25</v>
      </c>
      <c r="B23" s="2">
        <v>9.1280352000000006E-3</v>
      </c>
      <c r="C23" s="2">
        <v>-20.692437000000002</v>
      </c>
    </row>
    <row r="24" spans="1:5" x14ac:dyDescent="0.35">
      <c r="A24" s="4">
        <v>35</v>
      </c>
      <c r="B24" s="2">
        <v>6.3491696E-2</v>
      </c>
      <c r="C24" s="2">
        <v>-34.071827999999897</v>
      </c>
    </row>
    <row r="25" spans="1:5" x14ac:dyDescent="0.35">
      <c r="A25" s="4">
        <v>50</v>
      </c>
      <c r="B25" s="2">
        <v>1.9967689</v>
      </c>
      <c r="C25" s="2">
        <v>-57.935675000000003</v>
      </c>
    </row>
    <row r="26" spans="1:5" x14ac:dyDescent="0.35">
      <c r="A26" s="4" t="s">
        <v>99</v>
      </c>
      <c r="B26" s="2">
        <v>2.09533185037</v>
      </c>
      <c r="C26" s="2">
        <v>-150.77984049999992</v>
      </c>
    </row>
    <row r="28" spans="1:5" x14ac:dyDescent="0.35">
      <c r="A28" s="3" t="s">
        <v>55</v>
      </c>
      <c r="B28" s="4">
        <v>0.3</v>
      </c>
    </row>
    <row r="30" spans="1:5" ht="29" x14ac:dyDescent="0.35">
      <c r="A30" s="8" t="s">
        <v>98</v>
      </c>
      <c r="B30" s="9" t="s">
        <v>95</v>
      </c>
      <c r="C30" s="9" t="s">
        <v>96</v>
      </c>
    </row>
    <row r="31" spans="1:5" x14ac:dyDescent="0.35">
      <c r="A31" s="4">
        <v>0</v>
      </c>
      <c r="B31" s="2">
        <v>3.2533772000000002E-2</v>
      </c>
      <c r="C31" s="2">
        <v>-28.018131</v>
      </c>
    </row>
    <row r="32" spans="1:5" x14ac:dyDescent="0.35">
      <c r="A32" s="4">
        <v>5</v>
      </c>
      <c r="B32" s="2">
        <v>2.7917249000000002E-2</v>
      </c>
      <c r="C32" s="2">
        <v>-35.427132999999998</v>
      </c>
    </row>
    <row r="33" spans="1:4" x14ac:dyDescent="0.35">
      <c r="A33" s="4">
        <v>10</v>
      </c>
      <c r="B33" s="2">
        <v>0.13130802</v>
      </c>
      <c r="C33" s="2">
        <v>-54.721609000000001</v>
      </c>
    </row>
    <row r="34" spans="1:4" x14ac:dyDescent="0.35">
      <c r="A34" s="4">
        <v>15</v>
      </c>
      <c r="B34" s="2">
        <v>-3.4119410000000003E-2</v>
      </c>
      <c r="C34" s="2">
        <v>-86.745790999999997</v>
      </c>
    </row>
    <row r="35" spans="1:4" x14ac:dyDescent="0.35">
      <c r="A35" s="4">
        <v>20</v>
      </c>
      <c r="B35" s="2">
        <v>0.26150472000000002</v>
      </c>
      <c r="C35" s="2">
        <v>-128.10597000000001</v>
      </c>
    </row>
    <row r="36" spans="1:4" x14ac:dyDescent="0.35">
      <c r="A36" s="4">
        <v>25</v>
      </c>
      <c r="B36" s="2">
        <v>0.78103800999999995</v>
      </c>
      <c r="C36" s="2">
        <v>-177.71427</v>
      </c>
    </row>
    <row r="37" spans="1:4" x14ac:dyDescent="0.35">
      <c r="A37" s="4">
        <v>35</v>
      </c>
      <c r="B37" s="2">
        <v>3.1299296999999999</v>
      </c>
      <c r="C37" s="2">
        <v>-277.47521</v>
      </c>
    </row>
    <row r="38" spans="1:4" x14ac:dyDescent="0.35">
      <c r="A38" s="4">
        <v>50</v>
      </c>
      <c r="B38" s="2">
        <v>52.236522000000001</v>
      </c>
      <c r="C38" s="2">
        <v>-921.08947999999998</v>
      </c>
    </row>
    <row r="39" spans="1:4" x14ac:dyDescent="0.35">
      <c r="A39" s="4" t="s">
        <v>99</v>
      </c>
      <c r="B39" s="2">
        <v>56.566634061000002</v>
      </c>
      <c r="C39" s="2">
        <v>-1709.2975940000001</v>
      </c>
    </row>
    <row r="41" spans="1:4" x14ac:dyDescent="0.35">
      <c r="A41" s="6" t="s">
        <v>101</v>
      </c>
    </row>
    <row r="43" spans="1:4" x14ac:dyDescent="0.35">
      <c r="A43" s="3" t="s">
        <v>27</v>
      </c>
      <c r="B43" s="4">
        <v>0.3</v>
      </c>
    </row>
    <row r="45" spans="1:4" x14ac:dyDescent="0.35">
      <c r="A45" s="3" t="s">
        <v>98</v>
      </c>
      <c r="B45" t="s">
        <v>93</v>
      </c>
      <c r="C45" t="s">
        <v>92</v>
      </c>
      <c r="D45" t="s">
        <v>91</v>
      </c>
    </row>
    <row r="46" spans="1:4" x14ac:dyDescent="0.35">
      <c r="A46" s="4">
        <v>50</v>
      </c>
      <c r="B46" s="2">
        <v>-366.43450000000001</v>
      </c>
      <c r="C46" s="2">
        <v>3.6023936000000001</v>
      </c>
      <c r="D46" s="2">
        <v>404.39039000000002</v>
      </c>
    </row>
    <row r="47" spans="1:4" x14ac:dyDescent="0.35">
      <c r="A47" s="4" t="s">
        <v>99</v>
      </c>
      <c r="B47" s="2">
        <v>-366.43450000000001</v>
      </c>
      <c r="C47" s="2">
        <v>3.6023936000000001</v>
      </c>
      <c r="D47" s="2">
        <v>404.39039000000002</v>
      </c>
    </row>
    <row r="56" spans="1:3" x14ac:dyDescent="0.35">
      <c r="A56" s="3" t="s">
        <v>27</v>
      </c>
      <c r="B56" s="4">
        <v>0.4</v>
      </c>
    </row>
    <row r="58" spans="1:3" x14ac:dyDescent="0.35">
      <c r="A58" s="3" t="s">
        <v>98</v>
      </c>
      <c r="B58" t="s">
        <v>92</v>
      </c>
      <c r="C58" t="s">
        <v>91</v>
      </c>
    </row>
    <row r="59" spans="1:3" x14ac:dyDescent="0.35">
      <c r="A59" s="4">
        <v>5</v>
      </c>
      <c r="B59" s="2">
        <v>-2.5341229999999999E-2</v>
      </c>
      <c r="C59" s="2">
        <v>-42.054347</v>
      </c>
    </row>
    <row r="60" spans="1:3" x14ac:dyDescent="0.35">
      <c r="A60" s="4">
        <v>10</v>
      </c>
      <c r="B60" s="2">
        <v>-0.28023513</v>
      </c>
      <c r="C60" s="2">
        <v>-70.935411000000002</v>
      </c>
    </row>
    <row r="61" spans="1:3" x14ac:dyDescent="0.35">
      <c r="A61" s="4">
        <v>15</v>
      </c>
      <c r="B61" s="2">
        <v>0.26632198000000001</v>
      </c>
      <c r="C61" s="2">
        <v>-119.93186</v>
      </c>
    </row>
    <row r="62" spans="1:3" x14ac:dyDescent="0.35">
      <c r="A62" s="4">
        <v>20</v>
      </c>
      <c r="B62" s="2">
        <v>-0.24681032</v>
      </c>
      <c r="C62" s="2">
        <v>-176.66747000000001</v>
      </c>
    </row>
    <row r="63" spans="1:3" x14ac:dyDescent="0.35">
      <c r="A63" s="4">
        <v>25</v>
      </c>
      <c r="B63" s="2">
        <v>-4.3155482000000003</v>
      </c>
      <c r="C63" s="2">
        <v>-247.31269</v>
      </c>
    </row>
    <row r="64" spans="1:3" x14ac:dyDescent="0.35">
      <c r="A64" s="4">
        <v>35</v>
      </c>
      <c r="B64" s="2">
        <v>-9.6083058999999995</v>
      </c>
      <c r="C64" s="2">
        <v>-438.90829000000002</v>
      </c>
    </row>
    <row r="65" spans="1:4" x14ac:dyDescent="0.35">
      <c r="A65" s="4">
        <v>50</v>
      </c>
      <c r="B65" s="2">
        <v>12.840431000000001</v>
      </c>
      <c r="C65" s="2">
        <v>1076.877</v>
      </c>
    </row>
    <row r="66" spans="1:4" x14ac:dyDescent="0.35">
      <c r="A66" s="4" t="s">
        <v>99</v>
      </c>
      <c r="B66" s="2">
        <v>-1.3694877999999999</v>
      </c>
      <c r="C66" s="2">
        <v>-18.933068000000048</v>
      </c>
    </row>
    <row r="69" spans="1:4" x14ac:dyDescent="0.35">
      <c r="A69" s="3" t="s">
        <v>27</v>
      </c>
      <c r="B69" s="4">
        <v>0.5</v>
      </c>
    </row>
    <row r="71" spans="1:4" x14ac:dyDescent="0.35">
      <c r="A71" s="3" t="s">
        <v>98</v>
      </c>
      <c r="B71" t="s">
        <v>92</v>
      </c>
      <c r="C71" t="s">
        <v>91</v>
      </c>
      <c r="D71" t="s">
        <v>93</v>
      </c>
    </row>
    <row r="72" spans="1:4" x14ac:dyDescent="0.35">
      <c r="A72" s="4">
        <v>0</v>
      </c>
      <c r="B72" s="2">
        <v>-0.23161512000000001</v>
      </c>
      <c r="C72" s="2">
        <v>-144.27562</v>
      </c>
      <c r="D72" s="2">
        <v>0.38483594000000004</v>
      </c>
    </row>
    <row r="73" spans="1:4" x14ac:dyDescent="0.35">
      <c r="A73" s="4">
        <v>5</v>
      </c>
      <c r="B73" s="2">
        <v>-0.24506836000000001</v>
      </c>
      <c r="C73" s="2">
        <v>-91.529393999999996</v>
      </c>
      <c r="D73" s="2">
        <v>208.24943999999999</v>
      </c>
    </row>
    <row r="74" spans="1:4" x14ac:dyDescent="0.35">
      <c r="A74" s="4">
        <v>10</v>
      </c>
      <c r="B74" s="2">
        <v>-0.28853336000000002</v>
      </c>
      <c r="C74" s="2">
        <v>-145.99617000000001</v>
      </c>
      <c r="D74" s="2">
        <v>424.22075000000001</v>
      </c>
    </row>
    <row r="75" spans="1:4" x14ac:dyDescent="0.35">
      <c r="A75" s="4">
        <v>15</v>
      </c>
      <c r="B75" s="2">
        <v>-2.5929643999999998E-3</v>
      </c>
      <c r="C75" s="2">
        <v>-238.94354999999999</v>
      </c>
      <c r="D75" s="2">
        <v>631.74093000000005</v>
      </c>
    </row>
    <row r="76" spans="1:4" x14ac:dyDescent="0.35">
      <c r="A76" s="4">
        <v>20</v>
      </c>
      <c r="B76" s="2">
        <v>0.18323596</v>
      </c>
      <c r="C76" s="2">
        <v>-348.54969999999997</v>
      </c>
      <c r="D76" s="2">
        <v>759.4547</v>
      </c>
    </row>
    <row r="77" spans="1:4" x14ac:dyDescent="0.35">
      <c r="A77" s="4">
        <v>25</v>
      </c>
      <c r="B77" s="2">
        <v>-2.8138871000000001</v>
      </c>
      <c r="C77" s="2">
        <v>-491.40924999999999</v>
      </c>
      <c r="D77" s="2">
        <v>908.57574</v>
      </c>
    </row>
    <row r="78" spans="1:4" x14ac:dyDescent="0.35">
      <c r="A78" s="4">
        <v>35</v>
      </c>
      <c r="B78" s="2">
        <v>-6.0994853000000004</v>
      </c>
      <c r="C78" s="2">
        <v>-886.98393999999996</v>
      </c>
      <c r="D78" s="2">
        <v>1194.9487999999999</v>
      </c>
    </row>
    <row r="79" spans="1:4" x14ac:dyDescent="0.35">
      <c r="A79" s="4">
        <v>50</v>
      </c>
      <c r="B79" s="2">
        <v>-11.210037</v>
      </c>
      <c r="C79" s="2">
        <v>711.44835999999998</v>
      </c>
      <c r="D79" s="2">
        <v>-643.00588000000005</v>
      </c>
    </row>
    <row r="80" spans="1:4" x14ac:dyDescent="0.35">
      <c r="A80" s="4" t="s">
        <v>99</v>
      </c>
      <c r="B80" s="2">
        <v>-20.707983244400001</v>
      </c>
      <c r="C80" s="2">
        <v>-1636.2392639999998</v>
      </c>
      <c r="D80" s="2">
        <v>3484.5693159400003</v>
      </c>
    </row>
    <row r="82" spans="1:3" x14ac:dyDescent="0.35">
      <c r="A82" s="3" t="s">
        <v>27</v>
      </c>
      <c r="B82" s="4">
        <v>0.6</v>
      </c>
    </row>
    <row r="84" spans="1:3" x14ac:dyDescent="0.35">
      <c r="A84" s="3" t="s">
        <v>98</v>
      </c>
      <c r="B84" t="s">
        <v>92</v>
      </c>
      <c r="C84" t="s">
        <v>91</v>
      </c>
    </row>
    <row r="85" spans="1:3" x14ac:dyDescent="0.35">
      <c r="A85" s="4">
        <v>0</v>
      </c>
      <c r="B85" s="2">
        <v>-0.47210935999999998</v>
      </c>
      <c r="C85" s="2">
        <v>-82.615227000000004</v>
      </c>
    </row>
    <row r="86" spans="1:3" x14ac:dyDescent="0.35">
      <c r="A86" s="4">
        <v>5</v>
      </c>
      <c r="B86" s="2">
        <v>0.1464984</v>
      </c>
      <c r="C86" s="2">
        <v>-107.04266</v>
      </c>
    </row>
    <row r="87" spans="1:3" x14ac:dyDescent="0.35">
      <c r="A87" s="4">
        <v>10</v>
      </c>
      <c r="B87" s="2">
        <v>-0.35298541</v>
      </c>
      <c r="C87" s="2">
        <v>-170.94469000000001</v>
      </c>
    </row>
    <row r="88" spans="1:3" x14ac:dyDescent="0.35">
      <c r="A88" s="4">
        <v>15</v>
      </c>
      <c r="B88" s="2">
        <v>0.42059501999999999</v>
      </c>
      <c r="C88" s="2">
        <v>-271.36932000000002</v>
      </c>
    </row>
    <row r="89" spans="1:3" x14ac:dyDescent="0.35">
      <c r="A89" s="4">
        <v>20</v>
      </c>
      <c r="B89" s="2">
        <v>-1.4347733</v>
      </c>
      <c r="C89" s="2">
        <v>-384.69619999999998</v>
      </c>
    </row>
    <row r="90" spans="1:3" x14ac:dyDescent="0.35">
      <c r="A90" s="4">
        <v>25</v>
      </c>
      <c r="B90" s="2">
        <v>-5.2316639</v>
      </c>
      <c r="C90" s="2">
        <v>-533.46954000000005</v>
      </c>
    </row>
    <row r="91" spans="1:3" x14ac:dyDescent="0.35">
      <c r="A91" s="4">
        <v>35</v>
      </c>
      <c r="B91" s="2">
        <v>-31.939931999999999</v>
      </c>
      <c r="C91" s="2">
        <v>-901.23639000000003</v>
      </c>
    </row>
    <row r="92" spans="1:3" x14ac:dyDescent="0.35">
      <c r="A92" s="4">
        <v>50</v>
      </c>
      <c r="B92" s="2">
        <v>9.1766457999999993</v>
      </c>
      <c r="C92" s="2">
        <v>2106.2408</v>
      </c>
    </row>
    <row r="93" spans="1:3" x14ac:dyDescent="0.35">
      <c r="A93" s="4" t="s">
        <v>99</v>
      </c>
      <c r="B93" s="2">
        <v>-29.687724749999997</v>
      </c>
      <c r="C93" s="2">
        <v>-345.13322699999981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F72F-9F32-45E3-AD29-B9A11518231C}">
  <dimension ref="A1:BL29"/>
  <sheetViews>
    <sheetView workbookViewId="0">
      <selection activeCell="A4" sqref="A4:BL29"/>
    </sheetView>
  </sheetViews>
  <sheetFormatPr defaultColWidth="8" defaultRowHeight="14.5" x14ac:dyDescent="0.35"/>
  <cols>
    <col min="1" max="1" width="9.08984375" customWidth="1"/>
    <col min="2" max="2" width="24" bestFit="1" customWidth="1"/>
    <col min="3" max="3" width="14.1796875" bestFit="1" customWidth="1"/>
    <col min="4" max="4" width="21.36328125" bestFit="1" customWidth="1"/>
    <col min="5" max="5" width="22.453125" bestFit="1" customWidth="1"/>
    <col min="6" max="6" width="29.1796875" bestFit="1" customWidth="1"/>
    <col min="7" max="7" width="28.6328125" bestFit="1" customWidth="1"/>
    <col min="8" max="8" width="20" bestFit="1" customWidth="1"/>
    <col min="9" max="9" width="18" bestFit="1" customWidth="1"/>
    <col min="10" max="10" width="22.1796875" bestFit="1" customWidth="1"/>
    <col min="11" max="11" width="19.453125" bestFit="1" customWidth="1"/>
    <col min="12" max="12" width="24.81640625" bestFit="1" customWidth="1"/>
    <col min="13" max="13" width="23.81640625" bestFit="1" customWidth="1"/>
    <col min="14" max="14" width="26.453125" bestFit="1" customWidth="1"/>
    <col min="15" max="15" width="21.26953125" bestFit="1" customWidth="1"/>
    <col min="16" max="16" width="19.1796875" bestFit="1" customWidth="1"/>
    <col min="17" max="17" width="25.6328125" bestFit="1" customWidth="1"/>
    <col min="18" max="18" width="14.1796875" bestFit="1" customWidth="1"/>
    <col min="19" max="19" width="12.90625" bestFit="1" customWidth="1"/>
    <col min="20" max="20" width="27.26953125" bestFit="1" customWidth="1"/>
    <col min="21" max="21" width="17.7265625" bestFit="1" customWidth="1"/>
    <col min="22" max="22" width="18" bestFit="1" customWidth="1"/>
    <col min="23" max="23" width="24.54296875" bestFit="1" customWidth="1"/>
    <col min="24" max="24" width="19.6328125" bestFit="1" customWidth="1"/>
    <col min="25" max="25" width="22.90625" bestFit="1" customWidth="1"/>
    <col min="26" max="26" width="14.54296875" bestFit="1" customWidth="1"/>
    <col min="27" max="27" width="25.08984375" bestFit="1" customWidth="1"/>
    <col min="28" max="28" width="20.54296875" bestFit="1" customWidth="1"/>
    <col min="29" max="29" width="22.7265625" bestFit="1" customWidth="1"/>
    <col min="30" max="30" width="24" bestFit="1" customWidth="1"/>
    <col min="31" max="31" width="14.1796875" bestFit="1" customWidth="1"/>
    <col min="32" max="32" width="21.36328125" bestFit="1" customWidth="1"/>
    <col min="33" max="33" width="22.453125" bestFit="1" customWidth="1"/>
    <col min="34" max="34" width="29.1796875" bestFit="1" customWidth="1"/>
    <col min="35" max="35" width="28.6328125" bestFit="1" customWidth="1"/>
    <col min="36" max="36" width="20" bestFit="1" customWidth="1"/>
    <col min="37" max="37" width="18" bestFit="1" customWidth="1"/>
    <col min="38" max="38" width="22.1796875" bestFit="1" customWidth="1"/>
    <col min="39" max="39" width="19.453125" bestFit="1" customWidth="1"/>
    <col min="40" max="40" width="24.81640625" bestFit="1" customWidth="1"/>
    <col min="41" max="41" width="25.6328125" bestFit="1" customWidth="1"/>
    <col min="42" max="42" width="28.08984375" bestFit="1" customWidth="1"/>
    <col min="43" max="43" width="22.90625" bestFit="1" customWidth="1"/>
    <col min="44" max="44" width="19.1796875" bestFit="1" customWidth="1"/>
    <col min="45" max="45" width="25.6328125" bestFit="1" customWidth="1"/>
    <col min="46" max="46" width="14.1796875" bestFit="1" customWidth="1"/>
    <col min="47" max="47" width="12.90625" bestFit="1" customWidth="1"/>
    <col min="48" max="48" width="27.26953125" bestFit="1" customWidth="1"/>
    <col min="49" max="49" width="17.7265625" bestFit="1" customWidth="1"/>
    <col min="50" max="50" width="18" bestFit="1" customWidth="1"/>
    <col min="51" max="51" width="19.6328125" bestFit="1" customWidth="1"/>
    <col min="52" max="52" width="22.90625" bestFit="1" customWidth="1"/>
    <col min="53" max="53" width="33.6328125" bestFit="1" customWidth="1"/>
    <col min="54" max="54" width="24.54296875" bestFit="1" customWidth="1"/>
    <col min="55" max="55" width="30.36328125" bestFit="1" customWidth="1"/>
    <col min="56" max="56" width="29.7265625" bestFit="1" customWidth="1"/>
    <col min="57" max="57" width="21.90625" bestFit="1" customWidth="1"/>
    <col min="58" max="58" width="26.7265625" bestFit="1" customWidth="1"/>
    <col min="59" max="59" width="34.453125" bestFit="1" customWidth="1"/>
    <col min="60" max="60" width="33.81640625" bestFit="1" customWidth="1"/>
    <col min="61" max="61" width="35.453125" bestFit="1" customWidth="1"/>
    <col min="62" max="62" width="21" bestFit="1" customWidth="1"/>
    <col min="63" max="63" width="19.453125" bestFit="1" customWidth="1"/>
    <col min="64" max="64" width="21.26953125" bestFit="1" customWidth="1"/>
  </cols>
  <sheetData>
    <row r="1" spans="1:64" x14ac:dyDescent="0.35">
      <c r="A1" t="s">
        <v>0</v>
      </c>
    </row>
    <row r="2" spans="1:64" x14ac:dyDescent="0.35">
      <c r="A2" t="s">
        <v>1</v>
      </c>
    </row>
    <row r="3" spans="1:64" x14ac:dyDescent="0.35">
      <c r="A3" t="s">
        <v>2</v>
      </c>
    </row>
    <row r="4" spans="1:64" x14ac:dyDescent="0.35">
      <c r="A4" t="s">
        <v>0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</row>
    <row r="5" spans="1:64" x14ac:dyDescent="0.35">
      <c r="A5" t="s">
        <v>66</v>
      </c>
      <c r="B5">
        <v>20</v>
      </c>
      <c r="C5">
        <v>4.7449999999999999E-2</v>
      </c>
      <c r="D5">
        <v>0.80999999999999905</v>
      </c>
      <c r="E5">
        <v>142</v>
      </c>
      <c r="F5">
        <v>1.5</v>
      </c>
      <c r="G5">
        <v>1.2</v>
      </c>
      <c r="H5">
        <v>1.6199999999999899</v>
      </c>
      <c r="I5">
        <v>94.9</v>
      </c>
      <c r="J5">
        <v>40</v>
      </c>
      <c r="K5">
        <v>80</v>
      </c>
      <c r="L5">
        <v>2300</v>
      </c>
      <c r="M5">
        <v>16.2</v>
      </c>
      <c r="N5">
        <v>32.4</v>
      </c>
      <c r="O5">
        <v>1.8979999999999999</v>
      </c>
      <c r="P5">
        <v>0.80999999999999905</v>
      </c>
      <c r="Q5">
        <v>25</v>
      </c>
      <c r="R5">
        <v>15</v>
      </c>
      <c r="S5">
        <v>10</v>
      </c>
      <c r="T5">
        <v>4</v>
      </c>
      <c r="U5">
        <v>10</v>
      </c>
      <c r="V5">
        <v>9.7449999999999995E-2</v>
      </c>
      <c r="W5">
        <v>4.7449999999999999E-2</v>
      </c>
      <c r="X5">
        <v>8.3909963117727998E-2</v>
      </c>
      <c r="Y5">
        <v>40</v>
      </c>
      <c r="Z5">
        <v>0.5</v>
      </c>
      <c r="AA5">
        <v>101325</v>
      </c>
      <c r="AB5">
        <v>288</v>
      </c>
      <c r="AC5">
        <v>0.80999999999999905</v>
      </c>
      <c r="AD5">
        <v>20</v>
      </c>
      <c r="AE5">
        <v>4.7449999999999999E-2</v>
      </c>
      <c r="AF5">
        <v>0.80999999999999905</v>
      </c>
      <c r="AG5">
        <v>142</v>
      </c>
      <c r="AH5">
        <v>1.5</v>
      </c>
      <c r="AI5">
        <v>1.2</v>
      </c>
      <c r="AJ5">
        <v>1.6199999999999899</v>
      </c>
      <c r="AK5">
        <v>94.9</v>
      </c>
      <c r="AL5">
        <v>40</v>
      </c>
      <c r="AM5">
        <v>80</v>
      </c>
      <c r="AN5">
        <v>2300</v>
      </c>
      <c r="AO5">
        <v>1550</v>
      </c>
      <c r="AP5">
        <v>2750</v>
      </c>
      <c r="AQ5">
        <v>3200</v>
      </c>
      <c r="AR5">
        <v>0.80999999999999905</v>
      </c>
      <c r="AS5">
        <v>25</v>
      </c>
      <c r="AT5">
        <v>15</v>
      </c>
      <c r="AU5">
        <v>10</v>
      </c>
      <c r="AV5">
        <v>4</v>
      </c>
      <c r="AW5">
        <v>10</v>
      </c>
      <c r="AX5">
        <v>9.7449999999999995E-2</v>
      </c>
      <c r="AY5">
        <v>8.3909963117727998E-2</v>
      </c>
      <c r="AZ5">
        <v>40</v>
      </c>
      <c r="BA5">
        <v>17.008703654305901</v>
      </c>
      <c r="BB5">
        <v>0.05</v>
      </c>
      <c r="BC5">
        <v>0</v>
      </c>
      <c r="BD5">
        <v>0</v>
      </c>
      <c r="BE5">
        <v>170.08703654305901</v>
      </c>
      <c r="BF5">
        <v>288</v>
      </c>
      <c r="BG5">
        <v>3.9146301999999997E-3</v>
      </c>
      <c r="BH5">
        <v>-1.3031208999999999E-3</v>
      </c>
      <c r="BI5">
        <v>-0.86496737000000001</v>
      </c>
      <c r="BJ5">
        <v>-0.31943961999999998</v>
      </c>
      <c r="BK5">
        <v>0.16981572</v>
      </c>
      <c r="BL5">
        <v>-73.019290999999996</v>
      </c>
    </row>
    <row r="6" spans="1:64" x14ac:dyDescent="0.35">
      <c r="A6" t="s">
        <v>67</v>
      </c>
      <c r="B6">
        <v>20</v>
      </c>
      <c r="C6">
        <v>4.7449999999999999E-2</v>
      </c>
      <c r="D6">
        <v>0.76</v>
      </c>
      <c r="E6">
        <v>132</v>
      </c>
      <c r="F6">
        <v>1.5</v>
      </c>
      <c r="G6">
        <v>1.2</v>
      </c>
      <c r="H6">
        <v>1.52</v>
      </c>
      <c r="I6">
        <v>94.9</v>
      </c>
      <c r="J6">
        <v>40</v>
      </c>
      <c r="K6">
        <v>80</v>
      </c>
      <c r="L6">
        <v>2300</v>
      </c>
      <c r="M6">
        <v>15.2</v>
      </c>
      <c r="N6">
        <v>30.4</v>
      </c>
      <c r="O6">
        <v>1.8979999999999999</v>
      </c>
      <c r="P6">
        <v>0.76</v>
      </c>
      <c r="Q6">
        <v>25</v>
      </c>
      <c r="R6">
        <v>15</v>
      </c>
      <c r="S6">
        <v>10</v>
      </c>
      <c r="T6">
        <v>4</v>
      </c>
      <c r="U6">
        <v>10</v>
      </c>
      <c r="V6">
        <v>9.7449999999999995E-2</v>
      </c>
      <c r="W6">
        <v>4.7449999999999999E-2</v>
      </c>
      <c r="X6">
        <v>8.3909963117727998E-2</v>
      </c>
      <c r="Y6">
        <v>40</v>
      </c>
      <c r="Z6">
        <v>0.5</v>
      </c>
      <c r="AA6">
        <v>101325</v>
      </c>
      <c r="AB6">
        <v>288</v>
      </c>
      <c r="AC6">
        <v>0.76</v>
      </c>
      <c r="AD6">
        <v>20</v>
      </c>
      <c r="AE6">
        <v>4.7449999999999999E-2</v>
      </c>
      <c r="AF6">
        <v>0.76</v>
      </c>
      <c r="AG6">
        <v>132</v>
      </c>
      <c r="AH6">
        <v>1.5</v>
      </c>
      <c r="AI6">
        <v>1.2</v>
      </c>
      <c r="AJ6">
        <v>1.52</v>
      </c>
      <c r="AK6">
        <v>94.9</v>
      </c>
      <c r="AL6">
        <v>40</v>
      </c>
      <c r="AM6">
        <v>80</v>
      </c>
      <c r="AN6">
        <v>2300</v>
      </c>
      <c r="AO6">
        <v>1550</v>
      </c>
      <c r="AP6">
        <v>2750</v>
      </c>
      <c r="AQ6">
        <v>3200</v>
      </c>
      <c r="AR6">
        <v>0.76</v>
      </c>
      <c r="AS6">
        <v>25</v>
      </c>
      <c r="AT6">
        <v>15</v>
      </c>
      <c r="AU6">
        <v>10</v>
      </c>
      <c r="AV6">
        <v>4</v>
      </c>
      <c r="AW6">
        <v>10</v>
      </c>
      <c r="AX6">
        <v>9.7449999999999995E-2</v>
      </c>
      <c r="AY6">
        <v>8.3909963117727998E-2</v>
      </c>
      <c r="AZ6">
        <v>40</v>
      </c>
      <c r="BA6">
        <v>34.017407308611801</v>
      </c>
      <c r="BB6">
        <v>0.1</v>
      </c>
      <c r="BC6">
        <v>0</v>
      </c>
      <c r="BD6">
        <v>0</v>
      </c>
      <c r="BE6">
        <v>170.08703654305901</v>
      </c>
      <c r="BF6">
        <v>288</v>
      </c>
      <c r="BG6">
        <v>3.3958987000000003E-2</v>
      </c>
      <c r="BH6">
        <v>-4.4826305000000002E-3</v>
      </c>
      <c r="BI6">
        <v>-3.2469282000000002</v>
      </c>
      <c r="BJ6">
        <v>0.70427556000000002</v>
      </c>
      <c r="BK6">
        <v>-0.40143084000000001</v>
      </c>
      <c r="BL6">
        <v>-71.256328999999994</v>
      </c>
    </row>
    <row r="7" spans="1:64" x14ac:dyDescent="0.35">
      <c r="A7" t="s">
        <v>68</v>
      </c>
      <c r="B7">
        <v>20</v>
      </c>
      <c r="C7">
        <v>4.7449999999999999E-2</v>
      </c>
      <c r="D7">
        <v>0.76</v>
      </c>
      <c r="E7">
        <v>132</v>
      </c>
      <c r="F7">
        <v>1.5</v>
      </c>
      <c r="G7">
        <v>1.2</v>
      </c>
      <c r="H7">
        <v>1.52</v>
      </c>
      <c r="I7">
        <v>94.9</v>
      </c>
      <c r="J7">
        <v>40</v>
      </c>
      <c r="K7">
        <v>80</v>
      </c>
      <c r="L7">
        <v>2300</v>
      </c>
      <c r="M7">
        <v>15.2</v>
      </c>
      <c r="N7">
        <v>30.4</v>
      </c>
      <c r="O7">
        <v>1.8979999999999999</v>
      </c>
      <c r="P7">
        <v>0.76</v>
      </c>
      <c r="Q7">
        <v>25</v>
      </c>
      <c r="R7">
        <v>15</v>
      </c>
      <c r="S7">
        <v>10</v>
      </c>
      <c r="T7">
        <v>4</v>
      </c>
      <c r="U7">
        <v>10</v>
      </c>
      <c r="V7">
        <v>9.7449999999999995E-2</v>
      </c>
      <c r="W7">
        <v>4.7449999999999999E-2</v>
      </c>
      <c r="X7">
        <v>8.3909963117727998E-2</v>
      </c>
      <c r="Y7">
        <v>40</v>
      </c>
      <c r="Z7">
        <v>0.6</v>
      </c>
      <c r="AA7">
        <v>101325</v>
      </c>
      <c r="AB7">
        <v>288</v>
      </c>
      <c r="AC7">
        <v>0.76</v>
      </c>
      <c r="AD7">
        <v>20</v>
      </c>
      <c r="AE7">
        <v>4.7449999999999999E-2</v>
      </c>
      <c r="AF7">
        <v>0.76</v>
      </c>
      <c r="AG7">
        <v>132</v>
      </c>
      <c r="AH7">
        <v>1.5</v>
      </c>
      <c r="AI7">
        <v>1.2</v>
      </c>
      <c r="AJ7">
        <v>1.52</v>
      </c>
      <c r="AK7">
        <v>94.9</v>
      </c>
      <c r="AL7">
        <v>40</v>
      </c>
      <c r="AM7">
        <v>80</v>
      </c>
      <c r="AN7">
        <v>2300</v>
      </c>
      <c r="AO7">
        <v>1550</v>
      </c>
      <c r="AP7">
        <v>2750</v>
      </c>
      <c r="AQ7">
        <v>3200</v>
      </c>
      <c r="AR7">
        <v>0.76</v>
      </c>
      <c r="AS7">
        <v>25</v>
      </c>
      <c r="AT7">
        <v>15</v>
      </c>
      <c r="AU7">
        <v>10</v>
      </c>
      <c r="AV7">
        <v>4</v>
      </c>
      <c r="AW7">
        <v>10</v>
      </c>
      <c r="AX7">
        <v>9.7449999999999995E-2</v>
      </c>
      <c r="AY7">
        <v>8.3909963117727998E-2</v>
      </c>
      <c r="AZ7">
        <v>40</v>
      </c>
      <c r="BA7">
        <v>102.052221925835</v>
      </c>
      <c r="BB7">
        <v>0.3</v>
      </c>
      <c r="BC7">
        <v>0</v>
      </c>
      <c r="BD7">
        <v>0</v>
      </c>
      <c r="BE7">
        <v>204.10444385167099</v>
      </c>
      <c r="BF7">
        <v>288</v>
      </c>
      <c r="BG7">
        <v>0.38177032999999999</v>
      </c>
      <c r="BH7">
        <v>3.2533772000000002E-2</v>
      </c>
      <c r="BI7">
        <v>-28.018131</v>
      </c>
      <c r="BJ7">
        <v>0.84455659999999999</v>
      </c>
      <c r="BK7">
        <v>-0.47210935999999998</v>
      </c>
      <c r="BL7">
        <v>-82.615227000000004</v>
      </c>
    </row>
    <row r="8" spans="1:64" x14ac:dyDescent="0.35">
      <c r="A8" t="s">
        <v>69</v>
      </c>
      <c r="B8">
        <v>20</v>
      </c>
      <c r="C8">
        <v>4.7449999999999999E-2</v>
      </c>
      <c r="D8">
        <v>0.76</v>
      </c>
      <c r="E8">
        <v>132</v>
      </c>
      <c r="F8">
        <v>1.5</v>
      </c>
      <c r="G8">
        <v>1.2</v>
      </c>
      <c r="H8">
        <v>1.52</v>
      </c>
      <c r="I8">
        <v>94.9</v>
      </c>
      <c r="J8">
        <v>40</v>
      </c>
      <c r="K8">
        <v>80</v>
      </c>
      <c r="L8">
        <v>2300</v>
      </c>
      <c r="M8">
        <v>15.2</v>
      </c>
      <c r="N8">
        <v>30.4</v>
      </c>
      <c r="O8">
        <v>1.8979999999999999</v>
      </c>
      <c r="P8">
        <v>0.76</v>
      </c>
      <c r="Q8">
        <v>25</v>
      </c>
      <c r="R8">
        <v>15</v>
      </c>
      <c r="S8">
        <v>10</v>
      </c>
      <c r="T8">
        <v>4</v>
      </c>
      <c r="U8">
        <v>10</v>
      </c>
      <c r="V8">
        <v>9.7449999999999995E-2</v>
      </c>
      <c r="W8">
        <v>4.7449999999999999E-2</v>
      </c>
      <c r="X8">
        <v>8.3909963117727998E-2</v>
      </c>
      <c r="Y8">
        <v>40</v>
      </c>
      <c r="Z8">
        <v>0.4</v>
      </c>
      <c r="AA8">
        <v>101325</v>
      </c>
      <c r="AB8">
        <v>288</v>
      </c>
      <c r="AC8">
        <v>0.76</v>
      </c>
      <c r="AD8">
        <v>20</v>
      </c>
      <c r="AE8">
        <v>4.7449999999999999E-2</v>
      </c>
      <c r="AF8">
        <v>0.76</v>
      </c>
      <c r="AG8">
        <v>132</v>
      </c>
      <c r="AH8">
        <v>1.5</v>
      </c>
      <c r="AI8">
        <v>1.2</v>
      </c>
      <c r="AJ8">
        <v>1.52</v>
      </c>
      <c r="AK8">
        <v>94.9</v>
      </c>
      <c r="AL8">
        <v>40</v>
      </c>
      <c r="AM8">
        <v>80</v>
      </c>
      <c r="AN8">
        <v>2300</v>
      </c>
      <c r="AO8">
        <v>1550</v>
      </c>
      <c r="AP8">
        <v>2750</v>
      </c>
      <c r="AQ8">
        <v>3200</v>
      </c>
      <c r="AR8">
        <v>0.76</v>
      </c>
      <c r="AS8">
        <v>25</v>
      </c>
      <c r="AT8">
        <v>15</v>
      </c>
      <c r="AU8">
        <v>10</v>
      </c>
      <c r="AV8">
        <v>4</v>
      </c>
      <c r="AW8">
        <v>10</v>
      </c>
      <c r="AX8">
        <v>9.7449999999999995E-2</v>
      </c>
      <c r="AY8">
        <v>8.3909963117727998E-2</v>
      </c>
      <c r="AZ8">
        <v>40</v>
      </c>
      <c r="BA8">
        <v>17.008703654305901</v>
      </c>
      <c r="BB8">
        <v>0.05</v>
      </c>
      <c r="BC8">
        <v>5</v>
      </c>
      <c r="BD8">
        <v>5</v>
      </c>
      <c r="BE8">
        <v>136.06962923444701</v>
      </c>
      <c r="BF8">
        <v>288</v>
      </c>
      <c r="BG8">
        <v>2.1649560999999999</v>
      </c>
      <c r="BH8">
        <v>-2.8605581999999999E-4</v>
      </c>
      <c r="BI8">
        <v>-1.0505834999999999</v>
      </c>
      <c r="BJ8">
        <v>100.05605</v>
      </c>
      <c r="BK8">
        <v>-2.5341229999999999E-2</v>
      </c>
      <c r="BL8">
        <v>-42.054347</v>
      </c>
    </row>
    <row r="9" spans="1:64" x14ac:dyDescent="0.35">
      <c r="A9" t="s">
        <v>70</v>
      </c>
      <c r="B9">
        <v>20</v>
      </c>
      <c r="C9">
        <v>4.7449999999999999E-2</v>
      </c>
      <c r="D9">
        <v>0.76</v>
      </c>
      <c r="E9">
        <v>132</v>
      </c>
      <c r="F9">
        <v>1.5</v>
      </c>
      <c r="G9">
        <v>1.2</v>
      </c>
      <c r="H9">
        <v>1.52</v>
      </c>
      <c r="I9">
        <v>94.9</v>
      </c>
      <c r="J9">
        <v>40</v>
      </c>
      <c r="K9">
        <v>80</v>
      </c>
      <c r="L9">
        <v>2300</v>
      </c>
      <c r="M9">
        <v>15.2</v>
      </c>
      <c r="N9">
        <v>30.4</v>
      </c>
      <c r="O9">
        <v>1.8979999999999999</v>
      </c>
      <c r="P9">
        <v>0.76</v>
      </c>
      <c r="Q9">
        <v>25</v>
      </c>
      <c r="R9">
        <v>15</v>
      </c>
      <c r="S9">
        <v>10</v>
      </c>
      <c r="T9">
        <v>4</v>
      </c>
      <c r="U9">
        <v>10</v>
      </c>
      <c r="V9">
        <v>9.7449999999999995E-2</v>
      </c>
      <c r="W9">
        <v>4.7449999999999999E-2</v>
      </c>
      <c r="X9">
        <v>8.3909963117727998E-2</v>
      </c>
      <c r="Y9">
        <v>40</v>
      </c>
      <c r="Z9">
        <v>0.5</v>
      </c>
      <c r="AA9">
        <v>101325</v>
      </c>
      <c r="AB9">
        <v>288</v>
      </c>
      <c r="AC9">
        <v>0.76</v>
      </c>
      <c r="AD9">
        <v>20</v>
      </c>
      <c r="AE9">
        <v>4.7449999999999999E-2</v>
      </c>
      <c r="AF9">
        <v>0.76</v>
      </c>
      <c r="AG9">
        <v>132</v>
      </c>
      <c r="AH9">
        <v>1.5</v>
      </c>
      <c r="AI9">
        <v>1.2</v>
      </c>
      <c r="AJ9">
        <v>1.52</v>
      </c>
      <c r="AK9">
        <v>94.9</v>
      </c>
      <c r="AL9">
        <v>40</v>
      </c>
      <c r="AM9">
        <v>80</v>
      </c>
      <c r="AN9">
        <v>2300</v>
      </c>
      <c r="AO9">
        <v>1550</v>
      </c>
      <c r="AP9">
        <v>2750</v>
      </c>
      <c r="AQ9">
        <v>3200</v>
      </c>
      <c r="AR9">
        <v>0.76</v>
      </c>
      <c r="AS9">
        <v>25</v>
      </c>
      <c r="AT9">
        <v>15</v>
      </c>
      <c r="AU9">
        <v>10</v>
      </c>
      <c r="AV9">
        <v>4</v>
      </c>
      <c r="AW9">
        <v>10</v>
      </c>
      <c r="AX9">
        <v>9.7449999999999995E-2</v>
      </c>
      <c r="AY9">
        <v>8.3909963117727998E-2</v>
      </c>
      <c r="AZ9">
        <v>40</v>
      </c>
      <c r="BA9">
        <v>34.017407308611801</v>
      </c>
      <c r="BB9">
        <v>0.1</v>
      </c>
      <c r="BC9">
        <v>5</v>
      </c>
      <c r="BD9">
        <v>5</v>
      </c>
      <c r="BE9">
        <v>170.08703654305901</v>
      </c>
      <c r="BF9">
        <v>288</v>
      </c>
      <c r="BG9">
        <v>8.7412323999999995</v>
      </c>
      <c r="BH9">
        <v>3.4682446999999999E-4</v>
      </c>
      <c r="BI9">
        <v>-4.0654627000000003</v>
      </c>
      <c r="BJ9">
        <v>208.24943999999999</v>
      </c>
      <c r="BK9">
        <v>-0.24506836000000001</v>
      </c>
      <c r="BL9">
        <v>-91.529393999999996</v>
      </c>
    </row>
    <row r="10" spans="1:64" x14ac:dyDescent="0.35">
      <c r="A10" t="s">
        <v>71</v>
      </c>
      <c r="B10">
        <v>20</v>
      </c>
      <c r="C10">
        <v>4.7449999999999999E-2</v>
      </c>
      <c r="D10">
        <v>0.76</v>
      </c>
      <c r="E10">
        <v>132</v>
      </c>
      <c r="F10">
        <v>1.5</v>
      </c>
      <c r="G10">
        <v>1.2</v>
      </c>
      <c r="H10">
        <v>1.52</v>
      </c>
      <c r="I10">
        <v>94.9</v>
      </c>
      <c r="J10">
        <v>40</v>
      </c>
      <c r="K10">
        <v>80</v>
      </c>
      <c r="L10">
        <v>2300</v>
      </c>
      <c r="M10">
        <v>15.2</v>
      </c>
      <c r="N10">
        <v>30.4</v>
      </c>
      <c r="O10">
        <v>1.8979999999999999</v>
      </c>
      <c r="P10">
        <v>0.76</v>
      </c>
      <c r="Q10">
        <v>25</v>
      </c>
      <c r="R10">
        <v>15</v>
      </c>
      <c r="S10">
        <v>10</v>
      </c>
      <c r="T10">
        <v>4</v>
      </c>
      <c r="U10">
        <v>10</v>
      </c>
      <c r="V10">
        <v>9.7449999999999995E-2</v>
      </c>
      <c r="W10">
        <v>4.7449999999999999E-2</v>
      </c>
      <c r="X10">
        <v>8.3909963117727998E-2</v>
      </c>
      <c r="Y10">
        <v>40</v>
      </c>
      <c r="Z10">
        <v>0.6</v>
      </c>
      <c r="AA10">
        <v>101325</v>
      </c>
      <c r="AB10">
        <v>288</v>
      </c>
      <c r="AC10">
        <v>0.76</v>
      </c>
      <c r="AD10">
        <v>20</v>
      </c>
      <c r="AE10">
        <v>4.7449999999999999E-2</v>
      </c>
      <c r="AF10">
        <v>0.76</v>
      </c>
      <c r="AG10">
        <v>132</v>
      </c>
      <c r="AH10">
        <v>1.5</v>
      </c>
      <c r="AI10">
        <v>1.2</v>
      </c>
      <c r="AJ10">
        <v>1.52</v>
      </c>
      <c r="AK10">
        <v>94.9</v>
      </c>
      <c r="AL10">
        <v>40</v>
      </c>
      <c r="AM10">
        <v>80</v>
      </c>
      <c r="AN10">
        <v>2300</v>
      </c>
      <c r="AO10">
        <v>1550</v>
      </c>
      <c r="AP10">
        <v>2750</v>
      </c>
      <c r="AQ10">
        <v>3200</v>
      </c>
      <c r="AR10">
        <v>0.76</v>
      </c>
      <c r="AS10">
        <v>25</v>
      </c>
      <c r="AT10">
        <v>15</v>
      </c>
      <c r="AU10">
        <v>10</v>
      </c>
      <c r="AV10">
        <v>4</v>
      </c>
      <c r="AW10">
        <v>10</v>
      </c>
      <c r="AX10">
        <v>9.7449999999999995E-2</v>
      </c>
      <c r="AY10">
        <v>8.3909963117727998E-2</v>
      </c>
      <c r="AZ10">
        <v>40</v>
      </c>
      <c r="BA10">
        <v>102.052221925835</v>
      </c>
      <c r="BB10">
        <v>0.3</v>
      </c>
      <c r="BC10">
        <v>5</v>
      </c>
      <c r="BD10">
        <v>5</v>
      </c>
      <c r="BE10">
        <v>204.10444385167099</v>
      </c>
      <c r="BF10">
        <v>288</v>
      </c>
      <c r="BG10">
        <v>80.441749000000002</v>
      </c>
      <c r="BH10">
        <v>2.7917249000000002E-2</v>
      </c>
      <c r="BI10">
        <v>-35.427132999999998</v>
      </c>
      <c r="BJ10">
        <v>256.71417000000002</v>
      </c>
      <c r="BK10">
        <v>0.1464984</v>
      </c>
      <c r="BL10">
        <v>-107.04266</v>
      </c>
    </row>
    <row r="11" spans="1:64" x14ac:dyDescent="0.35">
      <c r="A11" t="s">
        <v>72</v>
      </c>
      <c r="B11">
        <v>20</v>
      </c>
      <c r="C11">
        <v>4.7449999999999999E-2</v>
      </c>
      <c r="D11">
        <v>0.76</v>
      </c>
      <c r="E11">
        <v>132</v>
      </c>
      <c r="F11">
        <v>1.5</v>
      </c>
      <c r="G11">
        <v>1.2</v>
      </c>
      <c r="H11">
        <v>1.52</v>
      </c>
      <c r="I11">
        <v>94.9</v>
      </c>
      <c r="J11">
        <v>40</v>
      </c>
      <c r="K11">
        <v>80</v>
      </c>
      <c r="L11">
        <v>2300</v>
      </c>
      <c r="M11">
        <v>15.2</v>
      </c>
      <c r="N11">
        <v>30.4</v>
      </c>
      <c r="O11">
        <v>1.8979999999999999</v>
      </c>
      <c r="P11">
        <v>0.76</v>
      </c>
      <c r="Q11">
        <v>25</v>
      </c>
      <c r="R11">
        <v>15</v>
      </c>
      <c r="S11">
        <v>10</v>
      </c>
      <c r="T11">
        <v>4</v>
      </c>
      <c r="U11">
        <v>10</v>
      </c>
      <c r="V11">
        <v>9.7449999999999995E-2</v>
      </c>
      <c r="W11">
        <v>4.7449999999999999E-2</v>
      </c>
      <c r="X11">
        <v>8.3909963117727998E-2</v>
      </c>
      <c r="Y11">
        <v>40</v>
      </c>
      <c r="Z11">
        <v>0.4</v>
      </c>
      <c r="AA11">
        <v>101325</v>
      </c>
      <c r="AB11">
        <v>288</v>
      </c>
      <c r="AC11">
        <v>0.76</v>
      </c>
      <c r="AD11">
        <v>20</v>
      </c>
      <c r="AE11">
        <v>4.7449999999999999E-2</v>
      </c>
      <c r="AF11">
        <v>0.76</v>
      </c>
      <c r="AG11">
        <v>132</v>
      </c>
      <c r="AH11">
        <v>1.5</v>
      </c>
      <c r="AI11">
        <v>1.2</v>
      </c>
      <c r="AJ11">
        <v>1.52</v>
      </c>
      <c r="AK11">
        <v>94.9</v>
      </c>
      <c r="AL11">
        <v>40</v>
      </c>
      <c r="AM11">
        <v>80</v>
      </c>
      <c r="AN11">
        <v>2300</v>
      </c>
      <c r="AO11">
        <v>1550</v>
      </c>
      <c r="AP11">
        <v>2750</v>
      </c>
      <c r="AQ11">
        <v>3200</v>
      </c>
      <c r="AR11">
        <v>0.76</v>
      </c>
      <c r="AS11">
        <v>25</v>
      </c>
      <c r="AT11">
        <v>15</v>
      </c>
      <c r="AU11">
        <v>10</v>
      </c>
      <c r="AV11">
        <v>4</v>
      </c>
      <c r="AW11">
        <v>10</v>
      </c>
      <c r="AX11">
        <v>9.7449999999999995E-2</v>
      </c>
      <c r="AY11">
        <v>8.3909963117727998E-2</v>
      </c>
      <c r="AZ11">
        <v>40</v>
      </c>
      <c r="BA11">
        <v>17.008703654305901</v>
      </c>
      <c r="BB11">
        <v>0.05</v>
      </c>
      <c r="BC11">
        <v>10</v>
      </c>
      <c r="BD11">
        <v>10</v>
      </c>
      <c r="BE11">
        <v>136.06962923444701</v>
      </c>
      <c r="BF11">
        <v>288</v>
      </c>
      <c r="BG11">
        <v>4.1785649999999999</v>
      </c>
      <c r="BH11">
        <v>-9.4568099999999997E-4</v>
      </c>
      <c r="BI11">
        <v>-1.5957352</v>
      </c>
      <c r="BJ11">
        <v>211.77043</v>
      </c>
      <c r="BK11">
        <v>-0.28023513</v>
      </c>
      <c r="BL11">
        <v>-70.935411000000002</v>
      </c>
    </row>
    <row r="12" spans="1:64" x14ac:dyDescent="0.35">
      <c r="A12" t="s">
        <v>73</v>
      </c>
      <c r="B12">
        <v>20</v>
      </c>
      <c r="C12">
        <v>4.7449999999999999E-2</v>
      </c>
      <c r="D12">
        <v>0.76</v>
      </c>
      <c r="E12">
        <v>132</v>
      </c>
      <c r="F12">
        <v>1.5</v>
      </c>
      <c r="G12">
        <v>1.2</v>
      </c>
      <c r="H12">
        <v>1.52</v>
      </c>
      <c r="I12">
        <v>94.9</v>
      </c>
      <c r="J12">
        <v>40</v>
      </c>
      <c r="K12">
        <v>80</v>
      </c>
      <c r="L12">
        <v>2300</v>
      </c>
      <c r="M12">
        <v>15.2</v>
      </c>
      <c r="N12">
        <v>30.4</v>
      </c>
      <c r="O12">
        <v>1.8979999999999999</v>
      </c>
      <c r="P12">
        <v>0.76</v>
      </c>
      <c r="Q12">
        <v>25</v>
      </c>
      <c r="R12">
        <v>15</v>
      </c>
      <c r="S12">
        <v>10</v>
      </c>
      <c r="T12">
        <v>4</v>
      </c>
      <c r="U12">
        <v>10</v>
      </c>
      <c r="V12">
        <v>9.7449999999999995E-2</v>
      </c>
      <c r="W12">
        <v>4.7449999999999999E-2</v>
      </c>
      <c r="X12">
        <v>8.3909963117727998E-2</v>
      </c>
      <c r="Y12">
        <v>40</v>
      </c>
      <c r="Z12">
        <v>0.5</v>
      </c>
      <c r="AA12">
        <v>101325</v>
      </c>
      <c r="AB12">
        <v>288</v>
      </c>
      <c r="AC12">
        <v>0.76</v>
      </c>
      <c r="AD12">
        <v>20</v>
      </c>
      <c r="AE12">
        <v>4.7449999999999999E-2</v>
      </c>
      <c r="AF12">
        <v>0.76</v>
      </c>
      <c r="AG12">
        <v>132</v>
      </c>
      <c r="AH12">
        <v>1.5</v>
      </c>
      <c r="AI12">
        <v>1.2</v>
      </c>
      <c r="AJ12">
        <v>1.52</v>
      </c>
      <c r="AK12">
        <v>94.9</v>
      </c>
      <c r="AL12">
        <v>40</v>
      </c>
      <c r="AM12">
        <v>80</v>
      </c>
      <c r="AN12">
        <v>2300</v>
      </c>
      <c r="AO12">
        <v>1550</v>
      </c>
      <c r="AP12">
        <v>2750</v>
      </c>
      <c r="AQ12">
        <v>3200</v>
      </c>
      <c r="AR12">
        <v>0.76</v>
      </c>
      <c r="AS12">
        <v>25</v>
      </c>
      <c r="AT12">
        <v>15</v>
      </c>
      <c r="AU12">
        <v>10</v>
      </c>
      <c r="AV12">
        <v>4</v>
      </c>
      <c r="AW12">
        <v>10</v>
      </c>
      <c r="AX12">
        <v>9.7449999999999995E-2</v>
      </c>
      <c r="AY12">
        <v>8.3909963117727998E-2</v>
      </c>
      <c r="AZ12">
        <v>40</v>
      </c>
      <c r="BA12">
        <v>34.017407308611801</v>
      </c>
      <c r="BB12">
        <v>0.1</v>
      </c>
      <c r="BC12">
        <v>10</v>
      </c>
      <c r="BD12">
        <v>10</v>
      </c>
      <c r="BE12">
        <v>170.08703654305901</v>
      </c>
      <c r="BF12">
        <v>288</v>
      </c>
      <c r="BG12">
        <v>16.898724000000001</v>
      </c>
      <c r="BH12">
        <v>1.8045354999999999E-2</v>
      </c>
      <c r="BI12">
        <v>-6.2361620000000002</v>
      </c>
      <c r="BJ12">
        <v>424.22075000000001</v>
      </c>
      <c r="BK12">
        <v>-0.28853336000000002</v>
      </c>
      <c r="BL12">
        <v>-145.99617000000001</v>
      </c>
    </row>
    <row r="13" spans="1:64" x14ac:dyDescent="0.35">
      <c r="A13" t="s">
        <v>74</v>
      </c>
      <c r="B13">
        <v>20</v>
      </c>
      <c r="C13">
        <v>4.7449999999999999E-2</v>
      </c>
      <c r="D13">
        <v>0.76</v>
      </c>
      <c r="E13">
        <v>132</v>
      </c>
      <c r="F13">
        <v>1.5</v>
      </c>
      <c r="G13">
        <v>1.2</v>
      </c>
      <c r="H13">
        <v>1.52</v>
      </c>
      <c r="I13">
        <v>94.9</v>
      </c>
      <c r="J13">
        <v>40</v>
      </c>
      <c r="K13">
        <v>80</v>
      </c>
      <c r="L13">
        <v>2300</v>
      </c>
      <c r="M13">
        <v>15.2</v>
      </c>
      <c r="N13">
        <v>30.4</v>
      </c>
      <c r="O13">
        <v>1.8979999999999999</v>
      </c>
      <c r="P13">
        <v>0.76</v>
      </c>
      <c r="Q13">
        <v>25</v>
      </c>
      <c r="R13">
        <v>15</v>
      </c>
      <c r="S13">
        <v>10</v>
      </c>
      <c r="T13">
        <v>4</v>
      </c>
      <c r="U13">
        <v>10</v>
      </c>
      <c r="V13">
        <v>9.7449999999999995E-2</v>
      </c>
      <c r="W13">
        <v>4.7449999999999999E-2</v>
      </c>
      <c r="X13">
        <v>8.3909963117727998E-2</v>
      </c>
      <c r="Y13">
        <v>40</v>
      </c>
      <c r="Z13">
        <v>0.6</v>
      </c>
      <c r="AA13">
        <v>101325</v>
      </c>
      <c r="AB13">
        <v>288</v>
      </c>
      <c r="AC13">
        <v>0.76</v>
      </c>
      <c r="AD13">
        <v>20</v>
      </c>
      <c r="AE13">
        <v>4.7449999999999999E-2</v>
      </c>
      <c r="AF13">
        <v>0.76</v>
      </c>
      <c r="AG13">
        <v>132</v>
      </c>
      <c r="AH13">
        <v>1.5</v>
      </c>
      <c r="AI13">
        <v>1.2</v>
      </c>
      <c r="AJ13">
        <v>1.52</v>
      </c>
      <c r="AK13">
        <v>94.9</v>
      </c>
      <c r="AL13">
        <v>40</v>
      </c>
      <c r="AM13">
        <v>80</v>
      </c>
      <c r="AN13">
        <v>2300</v>
      </c>
      <c r="AO13">
        <v>1550</v>
      </c>
      <c r="AP13">
        <v>2750</v>
      </c>
      <c r="AQ13">
        <v>3200</v>
      </c>
      <c r="AR13">
        <v>0.76</v>
      </c>
      <c r="AS13">
        <v>25</v>
      </c>
      <c r="AT13">
        <v>15</v>
      </c>
      <c r="AU13">
        <v>10</v>
      </c>
      <c r="AV13">
        <v>4</v>
      </c>
      <c r="AW13">
        <v>10</v>
      </c>
      <c r="AX13">
        <v>9.7449999999999995E-2</v>
      </c>
      <c r="AY13">
        <v>8.3909963117727998E-2</v>
      </c>
      <c r="AZ13">
        <v>40</v>
      </c>
      <c r="BA13">
        <v>102.052221925835</v>
      </c>
      <c r="BB13">
        <v>0.3</v>
      </c>
      <c r="BC13">
        <v>10</v>
      </c>
      <c r="BD13">
        <v>10</v>
      </c>
      <c r="BE13">
        <v>204.10444385167099</v>
      </c>
      <c r="BF13">
        <v>288</v>
      </c>
      <c r="BG13">
        <v>154.14713</v>
      </c>
      <c r="BH13">
        <v>0.13130802</v>
      </c>
      <c r="BI13">
        <v>-54.721609000000001</v>
      </c>
      <c r="BJ13">
        <v>510.80961000000002</v>
      </c>
      <c r="BK13">
        <v>-0.35298541</v>
      </c>
      <c r="BL13">
        <v>-170.94469000000001</v>
      </c>
    </row>
    <row r="14" spans="1:64" x14ac:dyDescent="0.35">
      <c r="A14" t="s">
        <v>75</v>
      </c>
      <c r="B14">
        <v>20</v>
      </c>
      <c r="C14">
        <v>4.7449999999999999E-2</v>
      </c>
      <c r="D14">
        <v>0.76</v>
      </c>
      <c r="E14">
        <v>132</v>
      </c>
      <c r="F14">
        <v>1.5</v>
      </c>
      <c r="G14">
        <v>1.2</v>
      </c>
      <c r="H14">
        <v>1.52</v>
      </c>
      <c r="I14">
        <v>94.9</v>
      </c>
      <c r="J14">
        <v>40</v>
      </c>
      <c r="K14">
        <v>80</v>
      </c>
      <c r="L14">
        <v>2300</v>
      </c>
      <c r="M14">
        <v>15.2</v>
      </c>
      <c r="N14">
        <v>30.4</v>
      </c>
      <c r="O14">
        <v>1.8979999999999999</v>
      </c>
      <c r="P14">
        <v>0.76</v>
      </c>
      <c r="Q14">
        <v>25</v>
      </c>
      <c r="R14">
        <v>15</v>
      </c>
      <c r="S14">
        <v>10</v>
      </c>
      <c r="T14">
        <v>4</v>
      </c>
      <c r="U14">
        <v>10</v>
      </c>
      <c r="V14">
        <v>9.7449999999999995E-2</v>
      </c>
      <c r="W14">
        <v>4.7449999999999999E-2</v>
      </c>
      <c r="X14">
        <v>8.3909963117727998E-2</v>
      </c>
      <c r="Y14">
        <v>40</v>
      </c>
      <c r="Z14">
        <v>0.4</v>
      </c>
      <c r="AA14">
        <v>101325</v>
      </c>
      <c r="AB14">
        <v>288</v>
      </c>
      <c r="AC14">
        <v>0.76</v>
      </c>
      <c r="AD14">
        <v>20</v>
      </c>
      <c r="AE14">
        <v>4.7449999999999999E-2</v>
      </c>
      <c r="AF14">
        <v>0.76</v>
      </c>
      <c r="AG14">
        <v>132</v>
      </c>
      <c r="AH14">
        <v>1.5</v>
      </c>
      <c r="AI14">
        <v>1.2</v>
      </c>
      <c r="AJ14">
        <v>1.52</v>
      </c>
      <c r="AK14">
        <v>94.9</v>
      </c>
      <c r="AL14">
        <v>40</v>
      </c>
      <c r="AM14">
        <v>80</v>
      </c>
      <c r="AN14">
        <v>2300</v>
      </c>
      <c r="AO14">
        <v>1550</v>
      </c>
      <c r="AP14">
        <v>2750</v>
      </c>
      <c r="AQ14">
        <v>3200</v>
      </c>
      <c r="AR14">
        <v>0.76</v>
      </c>
      <c r="AS14">
        <v>25</v>
      </c>
      <c r="AT14">
        <v>15</v>
      </c>
      <c r="AU14">
        <v>10</v>
      </c>
      <c r="AV14">
        <v>4</v>
      </c>
      <c r="AW14">
        <v>10</v>
      </c>
      <c r="AX14">
        <v>9.7449999999999995E-2</v>
      </c>
      <c r="AY14">
        <v>8.3909963117727998E-2</v>
      </c>
      <c r="AZ14">
        <v>40</v>
      </c>
      <c r="BA14">
        <v>17.008703654305901</v>
      </c>
      <c r="BB14">
        <v>0.05</v>
      </c>
      <c r="BC14">
        <v>15</v>
      </c>
      <c r="BD14">
        <v>15</v>
      </c>
      <c r="BE14">
        <v>136.06962923444701</v>
      </c>
      <c r="BF14">
        <v>288</v>
      </c>
      <c r="BG14">
        <v>6.1501543999999999</v>
      </c>
      <c r="BH14" s="1">
        <v>8.4306660000000008E-6</v>
      </c>
      <c r="BI14">
        <v>-2.5117899000000001</v>
      </c>
      <c r="BJ14">
        <v>322.6619</v>
      </c>
      <c r="BK14">
        <v>0.26632198000000001</v>
      </c>
      <c r="BL14">
        <v>-119.93186</v>
      </c>
    </row>
    <row r="15" spans="1:64" x14ac:dyDescent="0.35">
      <c r="A15" t="s">
        <v>76</v>
      </c>
      <c r="B15">
        <v>20</v>
      </c>
      <c r="C15">
        <v>4.7449999999999999E-2</v>
      </c>
      <c r="D15">
        <v>0.76</v>
      </c>
      <c r="E15">
        <v>132</v>
      </c>
      <c r="F15">
        <v>1.5</v>
      </c>
      <c r="G15">
        <v>1.2</v>
      </c>
      <c r="H15">
        <v>1.52</v>
      </c>
      <c r="I15">
        <v>94.9</v>
      </c>
      <c r="J15">
        <v>40</v>
      </c>
      <c r="K15">
        <v>80</v>
      </c>
      <c r="L15">
        <v>2300</v>
      </c>
      <c r="M15">
        <v>15.2</v>
      </c>
      <c r="N15">
        <v>30.4</v>
      </c>
      <c r="O15">
        <v>1.8979999999999999</v>
      </c>
      <c r="P15">
        <v>0.76</v>
      </c>
      <c r="Q15">
        <v>25</v>
      </c>
      <c r="R15">
        <v>15</v>
      </c>
      <c r="S15">
        <v>10</v>
      </c>
      <c r="T15">
        <v>4</v>
      </c>
      <c r="U15">
        <v>10</v>
      </c>
      <c r="V15">
        <v>9.7449999999999995E-2</v>
      </c>
      <c r="W15">
        <v>4.7449999999999999E-2</v>
      </c>
      <c r="X15">
        <v>8.3909963117727998E-2</v>
      </c>
      <c r="Y15">
        <v>40</v>
      </c>
      <c r="Z15">
        <v>0.5</v>
      </c>
      <c r="AA15">
        <v>101325</v>
      </c>
      <c r="AB15">
        <v>288</v>
      </c>
      <c r="AC15">
        <v>0.76</v>
      </c>
      <c r="AD15">
        <v>20</v>
      </c>
      <c r="AE15">
        <v>4.7449999999999999E-2</v>
      </c>
      <c r="AF15">
        <v>0.76</v>
      </c>
      <c r="AG15">
        <v>132</v>
      </c>
      <c r="AH15">
        <v>1.5</v>
      </c>
      <c r="AI15">
        <v>1.2</v>
      </c>
      <c r="AJ15">
        <v>1.52</v>
      </c>
      <c r="AK15">
        <v>94.9</v>
      </c>
      <c r="AL15">
        <v>40</v>
      </c>
      <c r="AM15">
        <v>80</v>
      </c>
      <c r="AN15">
        <v>2300</v>
      </c>
      <c r="AO15">
        <v>1550</v>
      </c>
      <c r="AP15">
        <v>2750</v>
      </c>
      <c r="AQ15">
        <v>3200</v>
      </c>
      <c r="AR15">
        <v>0.76</v>
      </c>
      <c r="AS15">
        <v>25</v>
      </c>
      <c r="AT15">
        <v>15</v>
      </c>
      <c r="AU15">
        <v>10</v>
      </c>
      <c r="AV15">
        <v>4</v>
      </c>
      <c r="AW15">
        <v>10</v>
      </c>
      <c r="AX15">
        <v>9.7449999999999995E-2</v>
      </c>
      <c r="AY15">
        <v>8.3909963117727998E-2</v>
      </c>
      <c r="AZ15">
        <v>40</v>
      </c>
      <c r="BA15">
        <v>34.017407308611801</v>
      </c>
      <c r="BB15">
        <v>0.1</v>
      </c>
      <c r="BC15">
        <v>15</v>
      </c>
      <c r="BD15">
        <v>15</v>
      </c>
      <c r="BE15">
        <v>170.08703654305901</v>
      </c>
      <c r="BF15">
        <v>288</v>
      </c>
      <c r="BG15">
        <v>24.698730000000001</v>
      </c>
      <c r="BH15">
        <v>-6.4664218000000002E-3</v>
      </c>
      <c r="BI15">
        <v>-9.8616466000000003</v>
      </c>
      <c r="BJ15">
        <v>631.74093000000005</v>
      </c>
      <c r="BK15">
        <v>-2.5929643999999998E-3</v>
      </c>
      <c r="BL15">
        <v>-238.94354999999999</v>
      </c>
    </row>
    <row r="16" spans="1:64" x14ac:dyDescent="0.35">
      <c r="A16" t="s">
        <v>77</v>
      </c>
      <c r="B16">
        <v>20</v>
      </c>
      <c r="C16">
        <v>4.7449999999999999E-2</v>
      </c>
      <c r="D16">
        <v>0.76</v>
      </c>
      <c r="E16">
        <v>132</v>
      </c>
      <c r="F16">
        <v>1.5</v>
      </c>
      <c r="G16">
        <v>1.2</v>
      </c>
      <c r="H16">
        <v>1.52</v>
      </c>
      <c r="I16">
        <v>94.9</v>
      </c>
      <c r="J16">
        <v>40</v>
      </c>
      <c r="K16">
        <v>80</v>
      </c>
      <c r="L16">
        <v>2300</v>
      </c>
      <c r="M16">
        <v>15.2</v>
      </c>
      <c r="N16">
        <v>30.4</v>
      </c>
      <c r="O16">
        <v>1.8979999999999999</v>
      </c>
      <c r="P16">
        <v>0.76</v>
      </c>
      <c r="Q16">
        <v>25</v>
      </c>
      <c r="R16">
        <v>15</v>
      </c>
      <c r="S16">
        <v>10</v>
      </c>
      <c r="T16">
        <v>4</v>
      </c>
      <c r="U16">
        <v>10</v>
      </c>
      <c r="V16">
        <v>9.7449999999999995E-2</v>
      </c>
      <c r="W16">
        <v>4.7449999999999999E-2</v>
      </c>
      <c r="X16">
        <v>8.3909963117727998E-2</v>
      </c>
      <c r="Y16">
        <v>40</v>
      </c>
      <c r="Z16">
        <v>0.6</v>
      </c>
      <c r="AA16">
        <v>101325</v>
      </c>
      <c r="AB16">
        <v>288</v>
      </c>
      <c r="AC16">
        <v>0.76</v>
      </c>
      <c r="AD16">
        <v>20</v>
      </c>
      <c r="AE16">
        <v>4.7449999999999999E-2</v>
      </c>
      <c r="AF16">
        <v>0.76</v>
      </c>
      <c r="AG16">
        <v>132</v>
      </c>
      <c r="AH16">
        <v>1.5</v>
      </c>
      <c r="AI16">
        <v>1.2</v>
      </c>
      <c r="AJ16">
        <v>1.52</v>
      </c>
      <c r="AK16">
        <v>94.9</v>
      </c>
      <c r="AL16">
        <v>40</v>
      </c>
      <c r="AM16">
        <v>80</v>
      </c>
      <c r="AN16">
        <v>2300</v>
      </c>
      <c r="AO16">
        <v>1550</v>
      </c>
      <c r="AP16">
        <v>2750</v>
      </c>
      <c r="AQ16">
        <v>3200</v>
      </c>
      <c r="AR16">
        <v>0.76</v>
      </c>
      <c r="AS16">
        <v>25</v>
      </c>
      <c r="AT16">
        <v>15</v>
      </c>
      <c r="AU16">
        <v>10</v>
      </c>
      <c r="AV16">
        <v>4</v>
      </c>
      <c r="AW16">
        <v>10</v>
      </c>
      <c r="AX16">
        <v>9.7449999999999995E-2</v>
      </c>
      <c r="AY16">
        <v>8.3909963117727998E-2</v>
      </c>
      <c r="AZ16">
        <v>40</v>
      </c>
      <c r="BA16">
        <v>102.052221925835</v>
      </c>
      <c r="BB16">
        <v>0.3</v>
      </c>
      <c r="BC16">
        <v>15</v>
      </c>
      <c r="BD16">
        <v>15</v>
      </c>
      <c r="BE16">
        <v>204.10444385167099</v>
      </c>
      <c r="BF16">
        <v>288</v>
      </c>
      <c r="BG16">
        <v>222.56326999999999</v>
      </c>
      <c r="BH16">
        <v>-3.4119410000000003E-2</v>
      </c>
      <c r="BI16">
        <v>-86.745790999999997</v>
      </c>
      <c r="BJ16">
        <v>727.22262000000001</v>
      </c>
      <c r="BK16">
        <v>0.42059501999999999</v>
      </c>
      <c r="BL16">
        <v>-271.36932000000002</v>
      </c>
    </row>
    <row r="17" spans="1:64" x14ac:dyDescent="0.35">
      <c r="A17" t="s">
        <v>78</v>
      </c>
      <c r="B17">
        <v>20</v>
      </c>
      <c r="C17">
        <v>4.7449999999999999E-2</v>
      </c>
      <c r="D17">
        <v>0.76</v>
      </c>
      <c r="E17">
        <v>132</v>
      </c>
      <c r="F17">
        <v>1.5</v>
      </c>
      <c r="G17">
        <v>1.2</v>
      </c>
      <c r="H17">
        <v>1.52</v>
      </c>
      <c r="I17">
        <v>94.9</v>
      </c>
      <c r="J17">
        <v>40</v>
      </c>
      <c r="K17">
        <v>80</v>
      </c>
      <c r="L17">
        <v>2300</v>
      </c>
      <c r="M17">
        <v>15.2</v>
      </c>
      <c r="N17">
        <v>30.4</v>
      </c>
      <c r="O17">
        <v>1.8979999999999999</v>
      </c>
      <c r="P17">
        <v>0.76</v>
      </c>
      <c r="Q17">
        <v>25</v>
      </c>
      <c r="R17">
        <v>15</v>
      </c>
      <c r="S17">
        <v>10</v>
      </c>
      <c r="T17">
        <v>4</v>
      </c>
      <c r="U17">
        <v>10</v>
      </c>
      <c r="V17">
        <v>9.7449999999999995E-2</v>
      </c>
      <c r="W17">
        <v>4.7449999999999999E-2</v>
      </c>
      <c r="X17">
        <v>8.3909963117727998E-2</v>
      </c>
      <c r="Y17">
        <v>40</v>
      </c>
      <c r="Z17">
        <v>0.4</v>
      </c>
      <c r="AA17">
        <v>101325</v>
      </c>
      <c r="AB17">
        <v>288</v>
      </c>
      <c r="AC17">
        <v>0.76</v>
      </c>
      <c r="AD17">
        <v>20</v>
      </c>
      <c r="AE17">
        <v>4.7449999999999999E-2</v>
      </c>
      <c r="AF17">
        <v>0.76</v>
      </c>
      <c r="AG17">
        <v>132</v>
      </c>
      <c r="AH17">
        <v>1.5</v>
      </c>
      <c r="AI17">
        <v>1.2</v>
      </c>
      <c r="AJ17">
        <v>1.52</v>
      </c>
      <c r="AK17">
        <v>94.9</v>
      </c>
      <c r="AL17">
        <v>40</v>
      </c>
      <c r="AM17">
        <v>80</v>
      </c>
      <c r="AN17">
        <v>2300</v>
      </c>
      <c r="AO17">
        <v>1550</v>
      </c>
      <c r="AP17">
        <v>2750</v>
      </c>
      <c r="AQ17">
        <v>3200</v>
      </c>
      <c r="AR17">
        <v>0.76</v>
      </c>
      <c r="AS17">
        <v>25</v>
      </c>
      <c r="AT17">
        <v>15</v>
      </c>
      <c r="AU17">
        <v>10</v>
      </c>
      <c r="AV17">
        <v>4</v>
      </c>
      <c r="AW17">
        <v>10</v>
      </c>
      <c r="AX17">
        <v>9.7449999999999995E-2</v>
      </c>
      <c r="AY17">
        <v>8.3909963117727998E-2</v>
      </c>
      <c r="AZ17">
        <v>40</v>
      </c>
      <c r="BA17">
        <v>17.008703654305901</v>
      </c>
      <c r="BB17">
        <v>0.05</v>
      </c>
      <c r="BC17">
        <v>20</v>
      </c>
      <c r="BD17">
        <v>20</v>
      </c>
      <c r="BE17">
        <v>136.06962923444701</v>
      </c>
      <c r="BF17">
        <v>288</v>
      </c>
      <c r="BG17">
        <v>7.8162080999999999</v>
      </c>
      <c r="BH17">
        <v>5.5383879000000004E-3</v>
      </c>
      <c r="BI17">
        <v>-3.7255885000000002</v>
      </c>
      <c r="BJ17">
        <v>391.45317</v>
      </c>
      <c r="BK17">
        <v>-0.24681032</v>
      </c>
      <c r="BL17">
        <v>-176.66747000000001</v>
      </c>
    </row>
    <row r="18" spans="1:64" x14ac:dyDescent="0.35">
      <c r="A18" t="s">
        <v>79</v>
      </c>
      <c r="B18">
        <v>20</v>
      </c>
      <c r="C18">
        <v>4.7449999999999999E-2</v>
      </c>
      <c r="D18">
        <v>0.76</v>
      </c>
      <c r="E18">
        <v>132</v>
      </c>
      <c r="F18">
        <v>1.5</v>
      </c>
      <c r="G18">
        <v>1.2</v>
      </c>
      <c r="H18">
        <v>1.52</v>
      </c>
      <c r="I18">
        <v>94.9</v>
      </c>
      <c r="J18">
        <v>40</v>
      </c>
      <c r="K18">
        <v>80</v>
      </c>
      <c r="L18">
        <v>2300</v>
      </c>
      <c r="M18">
        <v>15.2</v>
      </c>
      <c r="N18">
        <v>30.4</v>
      </c>
      <c r="O18">
        <v>1.8979999999999999</v>
      </c>
      <c r="P18">
        <v>0.76</v>
      </c>
      <c r="Q18">
        <v>25</v>
      </c>
      <c r="R18">
        <v>15</v>
      </c>
      <c r="S18">
        <v>10</v>
      </c>
      <c r="T18">
        <v>4</v>
      </c>
      <c r="U18">
        <v>10</v>
      </c>
      <c r="V18">
        <v>9.7449999999999995E-2</v>
      </c>
      <c r="W18">
        <v>4.7449999999999999E-2</v>
      </c>
      <c r="X18">
        <v>8.3909963117727998E-2</v>
      </c>
      <c r="Y18">
        <v>40</v>
      </c>
      <c r="Z18">
        <v>0.5</v>
      </c>
      <c r="AA18">
        <v>101325</v>
      </c>
      <c r="AB18">
        <v>288</v>
      </c>
      <c r="AC18">
        <v>0.76</v>
      </c>
      <c r="AD18">
        <v>20</v>
      </c>
      <c r="AE18">
        <v>4.7449999999999999E-2</v>
      </c>
      <c r="AF18">
        <v>0.76</v>
      </c>
      <c r="AG18">
        <v>132</v>
      </c>
      <c r="AH18">
        <v>1.5</v>
      </c>
      <c r="AI18">
        <v>1.2</v>
      </c>
      <c r="AJ18">
        <v>1.52</v>
      </c>
      <c r="AK18">
        <v>94.9</v>
      </c>
      <c r="AL18">
        <v>40</v>
      </c>
      <c r="AM18">
        <v>80</v>
      </c>
      <c r="AN18">
        <v>2300</v>
      </c>
      <c r="AO18">
        <v>1550</v>
      </c>
      <c r="AP18">
        <v>2750</v>
      </c>
      <c r="AQ18">
        <v>3200</v>
      </c>
      <c r="AR18">
        <v>0.76</v>
      </c>
      <c r="AS18">
        <v>25</v>
      </c>
      <c r="AT18">
        <v>15</v>
      </c>
      <c r="AU18">
        <v>10</v>
      </c>
      <c r="AV18">
        <v>4</v>
      </c>
      <c r="AW18">
        <v>10</v>
      </c>
      <c r="AX18">
        <v>9.7449999999999995E-2</v>
      </c>
      <c r="AY18">
        <v>8.3909963117727998E-2</v>
      </c>
      <c r="AZ18">
        <v>40</v>
      </c>
      <c r="BA18">
        <v>34.017407308611801</v>
      </c>
      <c r="BB18">
        <v>0.1</v>
      </c>
      <c r="BC18">
        <v>20</v>
      </c>
      <c r="BD18">
        <v>20</v>
      </c>
      <c r="BE18">
        <v>170.08703654305901</v>
      </c>
      <c r="BF18">
        <v>288</v>
      </c>
      <c r="BG18">
        <v>31.276143999999999</v>
      </c>
      <c r="BH18">
        <v>1.8500091999999999E-2</v>
      </c>
      <c r="BI18">
        <v>-14.669701</v>
      </c>
      <c r="BJ18">
        <v>759.4547</v>
      </c>
      <c r="BK18">
        <v>0.18323596</v>
      </c>
      <c r="BL18">
        <v>-348.54969999999997</v>
      </c>
    </row>
    <row r="19" spans="1:64" x14ac:dyDescent="0.35">
      <c r="A19" t="s">
        <v>80</v>
      </c>
      <c r="B19">
        <v>20</v>
      </c>
      <c r="C19">
        <v>4.7449999999999999E-2</v>
      </c>
      <c r="D19">
        <v>0.76</v>
      </c>
      <c r="E19">
        <v>132</v>
      </c>
      <c r="F19">
        <v>1.5</v>
      </c>
      <c r="G19">
        <v>1.2</v>
      </c>
      <c r="H19">
        <v>1.52</v>
      </c>
      <c r="I19">
        <v>94.9</v>
      </c>
      <c r="J19">
        <v>40</v>
      </c>
      <c r="K19">
        <v>80</v>
      </c>
      <c r="L19">
        <v>2300</v>
      </c>
      <c r="M19">
        <v>15.2</v>
      </c>
      <c r="N19">
        <v>30.4</v>
      </c>
      <c r="O19">
        <v>1.8979999999999999</v>
      </c>
      <c r="P19">
        <v>0.76</v>
      </c>
      <c r="Q19">
        <v>25</v>
      </c>
      <c r="R19">
        <v>15</v>
      </c>
      <c r="S19">
        <v>10</v>
      </c>
      <c r="T19">
        <v>4</v>
      </c>
      <c r="U19">
        <v>10</v>
      </c>
      <c r="V19">
        <v>9.7449999999999995E-2</v>
      </c>
      <c r="W19">
        <v>4.7449999999999999E-2</v>
      </c>
      <c r="X19">
        <v>8.3909963117727998E-2</v>
      </c>
      <c r="Y19">
        <v>40</v>
      </c>
      <c r="Z19">
        <v>0.6</v>
      </c>
      <c r="AA19">
        <v>101325</v>
      </c>
      <c r="AB19">
        <v>288</v>
      </c>
      <c r="AC19">
        <v>0.76</v>
      </c>
      <c r="AD19">
        <v>20</v>
      </c>
      <c r="AE19">
        <v>4.7449999999999999E-2</v>
      </c>
      <c r="AF19">
        <v>0.76</v>
      </c>
      <c r="AG19">
        <v>132</v>
      </c>
      <c r="AH19">
        <v>1.5</v>
      </c>
      <c r="AI19">
        <v>1.2</v>
      </c>
      <c r="AJ19">
        <v>1.52</v>
      </c>
      <c r="AK19">
        <v>94.9</v>
      </c>
      <c r="AL19">
        <v>40</v>
      </c>
      <c r="AM19">
        <v>80</v>
      </c>
      <c r="AN19">
        <v>2300</v>
      </c>
      <c r="AO19">
        <v>1550</v>
      </c>
      <c r="AP19">
        <v>2750</v>
      </c>
      <c r="AQ19">
        <v>3200</v>
      </c>
      <c r="AR19">
        <v>0.76</v>
      </c>
      <c r="AS19">
        <v>25</v>
      </c>
      <c r="AT19">
        <v>15</v>
      </c>
      <c r="AU19">
        <v>10</v>
      </c>
      <c r="AV19">
        <v>4</v>
      </c>
      <c r="AW19">
        <v>10</v>
      </c>
      <c r="AX19">
        <v>9.7449999999999995E-2</v>
      </c>
      <c r="AY19">
        <v>8.3909963117727998E-2</v>
      </c>
      <c r="AZ19">
        <v>40</v>
      </c>
      <c r="BA19">
        <v>102.052221925835</v>
      </c>
      <c r="BB19">
        <v>0.3</v>
      </c>
      <c r="BC19">
        <v>20</v>
      </c>
      <c r="BD19">
        <v>20</v>
      </c>
      <c r="BE19">
        <v>204.10444385167099</v>
      </c>
      <c r="BF19">
        <v>288</v>
      </c>
      <c r="BG19">
        <v>277.19171</v>
      </c>
      <c r="BH19">
        <v>0.26150472000000002</v>
      </c>
      <c r="BI19">
        <v>-128.10597000000001</v>
      </c>
      <c r="BJ19">
        <v>847.01139999999998</v>
      </c>
      <c r="BK19">
        <v>-1.4347733</v>
      </c>
      <c r="BL19">
        <v>-384.69619999999998</v>
      </c>
    </row>
    <row r="20" spans="1:64" x14ac:dyDescent="0.35">
      <c r="A20" t="s">
        <v>81</v>
      </c>
      <c r="B20">
        <v>20</v>
      </c>
      <c r="C20">
        <v>4.7449999999999999E-2</v>
      </c>
      <c r="D20">
        <v>0.76</v>
      </c>
      <c r="E20">
        <v>132</v>
      </c>
      <c r="F20">
        <v>1.5</v>
      </c>
      <c r="G20">
        <v>1.2</v>
      </c>
      <c r="H20">
        <v>1.52</v>
      </c>
      <c r="I20">
        <v>94.9</v>
      </c>
      <c r="J20">
        <v>40</v>
      </c>
      <c r="K20">
        <v>80</v>
      </c>
      <c r="L20">
        <v>2300</v>
      </c>
      <c r="M20">
        <v>15.2</v>
      </c>
      <c r="N20">
        <v>30.4</v>
      </c>
      <c r="O20">
        <v>1.8979999999999999</v>
      </c>
      <c r="P20">
        <v>0.76</v>
      </c>
      <c r="Q20">
        <v>25</v>
      </c>
      <c r="R20">
        <v>15</v>
      </c>
      <c r="S20">
        <v>10</v>
      </c>
      <c r="T20">
        <v>4</v>
      </c>
      <c r="U20">
        <v>10</v>
      </c>
      <c r="V20">
        <v>9.7449999999999995E-2</v>
      </c>
      <c r="W20">
        <v>4.7449999999999999E-2</v>
      </c>
      <c r="X20">
        <v>8.3909963117727998E-2</v>
      </c>
      <c r="Y20">
        <v>40</v>
      </c>
      <c r="Z20">
        <v>0.4</v>
      </c>
      <c r="AA20">
        <v>101325</v>
      </c>
      <c r="AB20">
        <v>288</v>
      </c>
      <c r="AC20">
        <v>0.76</v>
      </c>
      <c r="AD20">
        <v>20</v>
      </c>
      <c r="AE20">
        <v>4.7449999999999999E-2</v>
      </c>
      <c r="AF20">
        <v>0.76</v>
      </c>
      <c r="AG20">
        <v>132</v>
      </c>
      <c r="AH20">
        <v>1.5</v>
      </c>
      <c r="AI20">
        <v>1.2</v>
      </c>
      <c r="AJ20">
        <v>1.52</v>
      </c>
      <c r="AK20">
        <v>94.9</v>
      </c>
      <c r="AL20">
        <v>40</v>
      </c>
      <c r="AM20">
        <v>80</v>
      </c>
      <c r="AN20">
        <v>2300</v>
      </c>
      <c r="AO20">
        <v>1550</v>
      </c>
      <c r="AP20">
        <v>2750</v>
      </c>
      <c r="AQ20">
        <v>3200</v>
      </c>
      <c r="AR20">
        <v>0.76</v>
      </c>
      <c r="AS20">
        <v>25</v>
      </c>
      <c r="AT20">
        <v>15</v>
      </c>
      <c r="AU20">
        <v>10</v>
      </c>
      <c r="AV20">
        <v>4</v>
      </c>
      <c r="AW20">
        <v>10</v>
      </c>
      <c r="AX20">
        <v>9.7449999999999995E-2</v>
      </c>
      <c r="AY20">
        <v>8.3909963117727998E-2</v>
      </c>
      <c r="AZ20">
        <v>40</v>
      </c>
      <c r="BA20">
        <v>17.008703654305901</v>
      </c>
      <c r="BB20">
        <v>0.05</v>
      </c>
      <c r="BC20">
        <v>25</v>
      </c>
      <c r="BD20">
        <v>25</v>
      </c>
      <c r="BE20">
        <v>136.06962923444701</v>
      </c>
      <c r="BF20">
        <v>288</v>
      </c>
      <c r="BG20">
        <v>9.4735691000000006</v>
      </c>
      <c r="BH20">
        <v>1.6829125E-2</v>
      </c>
      <c r="BI20">
        <v>-5.2864034000000002</v>
      </c>
      <c r="BJ20">
        <v>463.02415000000002</v>
      </c>
      <c r="BK20">
        <v>-4.3155482000000003</v>
      </c>
      <c r="BL20">
        <v>-247.31269</v>
      </c>
    </row>
    <row r="21" spans="1:64" x14ac:dyDescent="0.35">
      <c r="A21" t="s">
        <v>82</v>
      </c>
      <c r="B21">
        <v>20</v>
      </c>
      <c r="C21">
        <v>4.7449999999999999E-2</v>
      </c>
      <c r="D21">
        <v>0.76</v>
      </c>
      <c r="E21">
        <v>132</v>
      </c>
      <c r="F21">
        <v>1.5</v>
      </c>
      <c r="G21">
        <v>1.2</v>
      </c>
      <c r="H21">
        <v>1.52</v>
      </c>
      <c r="I21">
        <v>94.9</v>
      </c>
      <c r="J21">
        <v>40</v>
      </c>
      <c r="K21">
        <v>80</v>
      </c>
      <c r="L21">
        <v>2300</v>
      </c>
      <c r="M21">
        <v>15.2</v>
      </c>
      <c r="N21">
        <v>30.4</v>
      </c>
      <c r="O21">
        <v>1.8979999999999999</v>
      </c>
      <c r="P21">
        <v>0.76</v>
      </c>
      <c r="Q21">
        <v>25</v>
      </c>
      <c r="R21">
        <v>15</v>
      </c>
      <c r="S21">
        <v>10</v>
      </c>
      <c r="T21">
        <v>4</v>
      </c>
      <c r="U21">
        <v>10</v>
      </c>
      <c r="V21">
        <v>9.7449999999999995E-2</v>
      </c>
      <c r="W21">
        <v>4.7449999999999999E-2</v>
      </c>
      <c r="X21">
        <v>8.3909963117727998E-2</v>
      </c>
      <c r="Y21">
        <v>40</v>
      </c>
      <c r="Z21">
        <v>0.5</v>
      </c>
      <c r="AA21">
        <v>101325</v>
      </c>
      <c r="AB21">
        <v>288</v>
      </c>
      <c r="AC21">
        <v>0.76</v>
      </c>
      <c r="AD21">
        <v>20</v>
      </c>
      <c r="AE21">
        <v>4.7449999999999999E-2</v>
      </c>
      <c r="AF21">
        <v>0.76</v>
      </c>
      <c r="AG21">
        <v>132</v>
      </c>
      <c r="AH21">
        <v>1.5</v>
      </c>
      <c r="AI21">
        <v>1.2</v>
      </c>
      <c r="AJ21">
        <v>1.52</v>
      </c>
      <c r="AK21">
        <v>94.9</v>
      </c>
      <c r="AL21">
        <v>40</v>
      </c>
      <c r="AM21">
        <v>80</v>
      </c>
      <c r="AN21">
        <v>2300</v>
      </c>
      <c r="AO21">
        <v>1550</v>
      </c>
      <c r="AP21">
        <v>2750</v>
      </c>
      <c r="AQ21">
        <v>3200</v>
      </c>
      <c r="AR21">
        <v>0.76</v>
      </c>
      <c r="AS21">
        <v>25</v>
      </c>
      <c r="AT21">
        <v>15</v>
      </c>
      <c r="AU21">
        <v>10</v>
      </c>
      <c r="AV21">
        <v>4</v>
      </c>
      <c r="AW21">
        <v>10</v>
      </c>
      <c r="AX21">
        <v>9.7449999999999995E-2</v>
      </c>
      <c r="AY21">
        <v>8.3909963117727998E-2</v>
      </c>
      <c r="AZ21">
        <v>40</v>
      </c>
      <c r="BA21">
        <v>34.017407308611801</v>
      </c>
      <c r="BB21">
        <v>0.1</v>
      </c>
      <c r="BC21">
        <v>25</v>
      </c>
      <c r="BD21">
        <v>25</v>
      </c>
      <c r="BE21">
        <v>170.08703654305901</v>
      </c>
      <c r="BF21">
        <v>288</v>
      </c>
      <c r="BG21">
        <v>37.467495999999997</v>
      </c>
      <c r="BH21">
        <v>9.1280352000000006E-3</v>
      </c>
      <c r="BI21">
        <v>-20.692437000000002</v>
      </c>
      <c r="BJ21">
        <v>908.57574</v>
      </c>
      <c r="BK21">
        <v>-2.8138871000000001</v>
      </c>
      <c r="BL21">
        <v>-491.40924999999999</v>
      </c>
    </row>
    <row r="22" spans="1:64" x14ac:dyDescent="0.35">
      <c r="A22" t="s">
        <v>83</v>
      </c>
      <c r="B22">
        <v>20</v>
      </c>
      <c r="C22">
        <v>4.7449999999999999E-2</v>
      </c>
      <c r="D22">
        <v>0.76</v>
      </c>
      <c r="E22">
        <v>132</v>
      </c>
      <c r="F22">
        <v>1.5</v>
      </c>
      <c r="G22">
        <v>1.2</v>
      </c>
      <c r="H22">
        <v>1.52</v>
      </c>
      <c r="I22">
        <v>94.9</v>
      </c>
      <c r="J22">
        <v>40</v>
      </c>
      <c r="K22">
        <v>80</v>
      </c>
      <c r="L22">
        <v>2300</v>
      </c>
      <c r="M22">
        <v>15.2</v>
      </c>
      <c r="N22">
        <v>30.4</v>
      </c>
      <c r="O22">
        <v>1.8979999999999999</v>
      </c>
      <c r="P22">
        <v>0.76</v>
      </c>
      <c r="Q22">
        <v>25</v>
      </c>
      <c r="R22">
        <v>15</v>
      </c>
      <c r="S22">
        <v>10</v>
      </c>
      <c r="T22">
        <v>4</v>
      </c>
      <c r="U22">
        <v>10</v>
      </c>
      <c r="V22">
        <v>9.7449999999999995E-2</v>
      </c>
      <c r="W22">
        <v>4.7449999999999999E-2</v>
      </c>
      <c r="X22">
        <v>8.3909963117727998E-2</v>
      </c>
      <c r="Y22">
        <v>40</v>
      </c>
      <c r="Z22">
        <v>0.6</v>
      </c>
      <c r="AA22">
        <v>101325</v>
      </c>
      <c r="AB22">
        <v>288</v>
      </c>
      <c r="AC22">
        <v>0.76</v>
      </c>
      <c r="AD22">
        <v>20</v>
      </c>
      <c r="AE22">
        <v>4.7449999999999999E-2</v>
      </c>
      <c r="AF22">
        <v>0.76</v>
      </c>
      <c r="AG22">
        <v>132</v>
      </c>
      <c r="AH22">
        <v>1.5</v>
      </c>
      <c r="AI22">
        <v>1.2</v>
      </c>
      <c r="AJ22">
        <v>1.52</v>
      </c>
      <c r="AK22">
        <v>94.9</v>
      </c>
      <c r="AL22">
        <v>40</v>
      </c>
      <c r="AM22">
        <v>80</v>
      </c>
      <c r="AN22">
        <v>2300</v>
      </c>
      <c r="AO22">
        <v>1550</v>
      </c>
      <c r="AP22">
        <v>2750</v>
      </c>
      <c r="AQ22">
        <v>3200</v>
      </c>
      <c r="AR22">
        <v>0.76</v>
      </c>
      <c r="AS22">
        <v>25</v>
      </c>
      <c r="AT22">
        <v>15</v>
      </c>
      <c r="AU22">
        <v>10</v>
      </c>
      <c r="AV22">
        <v>4</v>
      </c>
      <c r="AW22">
        <v>10</v>
      </c>
      <c r="AX22">
        <v>9.7449999999999995E-2</v>
      </c>
      <c r="AY22">
        <v>8.3909963117727998E-2</v>
      </c>
      <c r="AZ22">
        <v>40</v>
      </c>
      <c r="BA22">
        <v>102.052221925835</v>
      </c>
      <c r="BB22">
        <v>0.3</v>
      </c>
      <c r="BC22">
        <v>25</v>
      </c>
      <c r="BD22">
        <v>25</v>
      </c>
      <c r="BE22">
        <v>204.10444385167099</v>
      </c>
      <c r="BF22">
        <v>288</v>
      </c>
      <c r="BG22">
        <v>323.21897000000001</v>
      </c>
      <c r="BH22">
        <v>0.78103800999999995</v>
      </c>
      <c r="BI22">
        <v>-177.71427</v>
      </c>
      <c r="BJ22">
        <v>993.27755999999999</v>
      </c>
      <c r="BK22">
        <v>-5.2316639</v>
      </c>
      <c r="BL22">
        <v>-533.46954000000005</v>
      </c>
    </row>
    <row r="23" spans="1:64" x14ac:dyDescent="0.35">
      <c r="A23" t="s">
        <v>84</v>
      </c>
      <c r="B23">
        <v>20</v>
      </c>
      <c r="C23">
        <v>4.7449999999999999E-2</v>
      </c>
      <c r="D23">
        <v>0.76</v>
      </c>
      <c r="E23">
        <v>132</v>
      </c>
      <c r="F23">
        <v>1.5</v>
      </c>
      <c r="G23">
        <v>1.2</v>
      </c>
      <c r="H23">
        <v>1.52</v>
      </c>
      <c r="I23">
        <v>94.9</v>
      </c>
      <c r="J23">
        <v>40</v>
      </c>
      <c r="K23">
        <v>80</v>
      </c>
      <c r="L23">
        <v>2300</v>
      </c>
      <c r="M23">
        <v>15.2</v>
      </c>
      <c r="N23">
        <v>30.4</v>
      </c>
      <c r="O23">
        <v>1.8979999999999999</v>
      </c>
      <c r="P23">
        <v>0.76</v>
      </c>
      <c r="Q23">
        <v>25</v>
      </c>
      <c r="R23">
        <v>15</v>
      </c>
      <c r="S23">
        <v>10</v>
      </c>
      <c r="T23">
        <v>4</v>
      </c>
      <c r="U23">
        <v>10</v>
      </c>
      <c r="V23">
        <v>9.7449999999999995E-2</v>
      </c>
      <c r="W23">
        <v>4.7449999999999999E-2</v>
      </c>
      <c r="X23">
        <v>8.3909963117727998E-2</v>
      </c>
      <c r="Y23">
        <v>40</v>
      </c>
      <c r="Z23">
        <v>0.4</v>
      </c>
      <c r="AA23">
        <v>101325</v>
      </c>
      <c r="AB23">
        <v>288</v>
      </c>
      <c r="AC23">
        <v>0.76</v>
      </c>
      <c r="AD23">
        <v>20</v>
      </c>
      <c r="AE23">
        <v>4.7449999999999999E-2</v>
      </c>
      <c r="AF23">
        <v>0.76</v>
      </c>
      <c r="AG23">
        <v>132</v>
      </c>
      <c r="AH23">
        <v>1.5</v>
      </c>
      <c r="AI23">
        <v>1.2</v>
      </c>
      <c r="AJ23">
        <v>1.52</v>
      </c>
      <c r="AK23">
        <v>94.9</v>
      </c>
      <c r="AL23">
        <v>40</v>
      </c>
      <c r="AM23">
        <v>80</v>
      </c>
      <c r="AN23">
        <v>2300</v>
      </c>
      <c r="AO23">
        <v>1550</v>
      </c>
      <c r="AP23">
        <v>2750</v>
      </c>
      <c r="AQ23">
        <v>3200</v>
      </c>
      <c r="AR23">
        <v>0.76</v>
      </c>
      <c r="AS23">
        <v>25</v>
      </c>
      <c r="AT23">
        <v>15</v>
      </c>
      <c r="AU23">
        <v>10</v>
      </c>
      <c r="AV23">
        <v>4</v>
      </c>
      <c r="AW23">
        <v>10</v>
      </c>
      <c r="AX23">
        <v>9.7449999999999995E-2</v>
      </c>
      <c r="AY23">
        <v>8.3909963117727998E-2</v>
      </c>
      <c r="AZ23">
        <v>40</v>
      </c>
      <c r="BA23">
        <v>17.008703654305901</v>
      </c>
      <c r="BB23">
        <v>0.05</v>
      </c>
      <c r="BC23">
        <v>35</v>
      </c>
      <c r="BD23">
        <v>35</v>
      </c>
      <c r="BE23">
        <v>136.06962923444701</v>
      </c>
      <c r="BF23">
        <v>288</v>
      </c>
      <c r="BG23">
        <v>11.708173</v>
      </c>
      <c r="BH23">
        <v>-7.7409260999999993E-2</v>
      </c>
      <c r="BI23">
        <v>-9.0154271999999995</v>
      </c>
      <c r="BJ23">
        <v>594.00157000000002</v>
      </c>
      <c r="BK23">
        <v>-9.6083058999999995</v>
      </c>
      <c r="BL23">
        <v>-438.90829000000002</v>
      </c>
    </row>
    <row r="24" spans="1:64" x14ac:dyDescent="0.35">
      <c r="A24" t="s">
        <v>85</v>
      </c>
      <c r="B24">
        <v>20</v>
      </c>
      <c r="C24">
        <v>4.7449999999999999E-2</v>
      </c>
      <c r="D24">
        <v>0.76</v>
      </c>
      <c r="E24">
        <v>132</v>
      </c>
      <c r="F24">
        <v>1.5</v>
      </c>
      <c r="G24">
        <v>1.2</v>
      </c>
      <c r="H24">
        <v>1.52</v>
      </c>
      <c r="I24">
        <v>94.9</v>
      </c>
      <c r="J24">
        <v>40</v>
      </c>
      <c r="K24">
        <v>80</v>
      </c>
      <c r="L24">
        <v>2300</v>
      </c>
      <c r="M24">
        <v>15.2</v>
      </c>
      <c r="N24">
        <v>30.4</v>
      </c>
      <c r="O24">
        <v>1.8979999999999999</v>
      </c>
      <c r="P24">
        <v>0.76</v>
      </c>
      <c r="Q24">
        <v>25</v>
      </c>
      <c r="R24">
        <v>15</v>
      </c>
      <c r="S24">
        <v>10</v>
      </c>
      <c r="T24">
        <v>4</v>
      </c>
      <c r="U24">
        <v>10</v>
      </c>
      <c r="V24">
        <v>9.7449999999999995E-2</v>
      </c>
      <c r="W24">
        <v>4.7449999999999999E-2</v>
      </c>
      <c r="X24">
        <v>8.3909963117727998E-2</v>
      </c>
      <c r="Y24">
        <v>40</v>
      </c>
      <c r="Z24">
        <v>0.5</v>
      </c>
      <c r="AA24">
        <v>101325</v>
      </c>
      <c r="AB24">
        <v>288</v>
      </c>
      <c r="AC24">
        <v>0.76</v>
      </c>
      <c r="AD24">
        <v>20</v>
      </c>
      <c r="AE24">
        <v>4.7449999999999999E-2</v>
      </c>
      <c r="AF24">
        <v>0.76</v>
      </c>
      <c r="AG24">
        <v>132</v>
      </c>
      <c r="AH24">
        <v>1.5</v>
      </c>
      <c r="AI24">
        <v>1.2</v>
      </c>
      <c r="AJ24">
        <v>1.52</v>
      </c>
      <c r="AK24">
        <v>94.9</v>
      </c>
      <c r="AL24">
        <v>40</v>
      </c>
      <c r="AM24">
        <v>80</v>
      </c>
      <c r="AN24">
        <v>2300</v>
      </c>
      <c r="AO24">
        <v>1550</v>
      </c>
      <c r="AP24">
        <v>2750</v>
      </c>
      <c r="AQ24">
        <v>3200</v>
      </c>
      <c r="AR24">
        <v>0.76</v>
      </c>
      <c r="AS24">
        <v>25</v>
      </c>
      <c r="AT24">
        <v>15</v>
      </c>
      <c r="AU24">
        <v>10</v>
      </c>
      <c r="AV24">
        <v>4</v>
      </c>
      <c r="AW24">
        <v>10</v>
      </c>
      <c r="AX24">
        <v>9.7449999999999995E-2</v>
      </c>
      <c r="AY24">
        <v>8.3909963117727998E-2</v>
      </c>
      <c r="AZ24">
        <v>40</v>
      </c>
      <c r="BA24">
        <v>34.017407308611801</v>
      </c>
      <c r="BB24">
        <v>0.1</v>
      </c>
      <c r="BC24">
        <v>35</v>
      </c>
      <c r="BD24">
        <v>35</v>
      </c>
      <c r="BE24">
        <v>170.08703654305901</v>
      </c>
      <c r="BF24">
        <v>288</v>
      </c>
      <c r="BG24">
        <v>44.386256000000003</v>
      </c>
      <c r="BH24">
        <v>6.3491696E-2</v>
      </c>
      <c r="BI24">
        <v>-34.071827999999897</v>
      </c>
      <c r="BJ24">
        <v>1194.9487999999999</v>
      </c>
      <c r="BK24">
        <v>-6.0994853000000004</v>
      </c>
      <c r="BL24">
        <v>-886.98393999999996</v>
      </c>
    </row>
    <row r="25" spans="1:64" x14ac:dyDescent="0.35">
      <c r="A25" t="s">
        <v>86</v>
      </c>
      <c r="B25">
        <v>20</v>
      </c>
      <c r="C25">
        <v>4.7449999999999999E-2</v>
      </c>
      <c r="D25">
        <v>0.76</v>
      </c>
      <c r="E25">
        <v>132</v>
      </c>
      <c r="F25">
        <v>1.5</v>
      </c>
      <c r="G25">
        <v>1.2</v>
      </c>
      <c r="H25">
        <v>1.52</v>
      </c>
      <c r="I25">
        <v>94.9</v>
      </c>
      <c r="J25">
        <v>40</v>
      </c>
      <c r="K25">
        <v>80</v>
      </c>
      <c r="L25">
        <v>2300</v>
      </c>
      <c r="M25">
        <v>15.2</v>
      </c>
      <c r="N25">
        <v>30.4</v>
      </c>
      <c r="O25">
        <v>1.8979999999999999</v>
      </c>
      <c r="P25">
        <v>0.76</v>
      </c>
      <c r="Q25">
        <v>25</v>
      </c>
      <c r="R25">
        <v>15</v>
      </c>
      <c r="S25">
        <v>10</v>
      </c>
      <c r="T25">
        <v>4</v>
      </c>
      <c r="U25">
        <v>10</v>
      </c>
      <c r="V25">
        <v>9.7449999999999995E-2</v>
      </c>
      <c r="W25">
        <v>4.7449999999999999E-2</v>
      </c>
      <c r="X25">
        <v>8.3909963117727998E-2</v>
      </c>
      <c r="Y25">
        <v>40</v>
      </c>
      <c r="Z25">
        <v>0.6</v>
      </c>
      <c r="AA25">
        <v>101325</v>
      </c>
      <c r="AB25">
        <v>288</v>
      </c>
      <c r="AC25">
        <v>0.76</v>
      </c>
      <c r="AD25">
        <v>20</v>
      </c>
      <c r="AE25">
        <v>4.7449999999999999E-2</v>
      </c>
      <c r="AF25">
        <v>0.76</v>
      </c>
      <c r="AG25">
        <v>132</v>
      </c>
      <c r="AH25">
        <v>1.5</v>
      </c>
      <c r="AI25">
        <v>1.2</v>
      </c>
      <c r="AJ25">
        <v>1.52</v>
      </c>
      <c r="AK25">
        <v>94.9</v>
      </c>
      <c r="AL25">
        <v>40</v>
      </c>
      <c r="AM25">
        <v>80</v>
      </c>
      <c r="AN25">
        <v>2300</v>
      </c>
      <c r="AO25">
        <v>1550</v>
      </c>
      <c r="AP25">
        <v>2750</v>
      </c>
      <c r="AQ25">
        <v>3200</v>
      </c>
      <c r="AR25">
        <v>0.76</v>
      </c>
      <c r="AS25">
        <v>25</v>
      </c>
      <c r="AT25">
        <v>15</v>
      </c>
      <c r="AU25">
        <v>10</v>
      </c>
      <c r="AV25">
        <v>4</v>
      </c>
      <c r="AW25">
        <v>10</v>
      </c>
      <c r="AX25">
        <v>9.7449999999999995E-2</v>
      </c>
      <c r="AY25">
        <v>8.3909963117727998E-2</v>
      </c>
      <c r="AZ25">
        <v>40</v>
      </c>
      <c r="BA25">
        <v>102.052221925835</v>
      </c>
      <c r="BB25">
        <v>0.3</v>
      </c>
      <c r="BC25">
        <v>35</v>
      </c>
      <c r="BD25">
        <v>35</v>
      </c>
      <c r="BE25">
        <v>204.10444385167099</v>
      </c>
      <c r="BF25">
        <v>288</v>
      </c>
      <c r="BG25">
        <v>357.17925000000002</v>
      </c>
      <c r="BH25">
        <v>3.1299296999999999</v>
      </c>
      <c r="BI25">
        <v>-277.47521</v>
      </c>
      <c r="BJ25">
        <v>1220.2583999999999</v>
      </c>
      <c r="BK25">
        <v>-31.939931999999999</v>
      </c>
      <c r="BL25">
        <v>-901.23639000000003</v>
      </c>
    </row>
    <row r="26" spans="1:64" x14ac:dyDescent="0.35">
      <c r="A26" t="s">
        <v>87</v>
      </c>
      <c r="B26">
        <v>20</v>
      </c>
      <c r="C26">
        <v>4.7449999999999999E-2</v>
      </c>
      <c r="D26">
        <v>0.76</v>
      </c>
      <c r="E26">
        <v>132</v>
      </c>
      <c r="F26">
        <v>1.5</v>
      </c>
      <c r="G26">
        <v>1.2</v>
      </c>
      <c r="H26">
        <v>1.52</v>
      </c>
      <c r="I26">
        <v>94.9</v>
      </c>
      <c r="J26">
        <v>40</v>
      </c>
      <c r="K26">
        <v>80</v>
      </c>
      <c r="L26">
        <v>2300</v>
      </c>
      <c r="M26">
        <v>15.2</v>
      </c>
      <c r="N26">
        <v>30.4</v>
      </c>
      <c r="O26">
        <v>1.8979999999999999</v>
      </c>
      <c r="P26">
        <v>0.76</v>
      </c>
      <c r="Q26">
        <v>25</v>
      </c>
      <c r="R26">
        <v>15</v>
      </c>
      <c r="S26">
        <v>10</v>
      </c>
      <c r="T26">
        <v>4</v>
      </c>
      <c r="U26">
        <v>10</v>
      </c>
      <c r="V26">
        <v>9.7449999999999995E-2</v>
      </c>
      <c r="W26">
        <v>4.7449999999999999E-2</v>
      </c>
      <c r="X26">
        <v>8.3909963117727998E-2</v>
      </c>
      <c r="Y26">
        <v>40</v>
      </c>
      <c r="Z26">
        <v>0.4</v>
      </c>
      <c r="AA26">
        <v>101325</v>
      </c>
      <c r="AB26">
        <v>288</v>
      </c>
      <c r="AC26">
        <v>0.76</v>
      </c>
      <c r="AD26">
        <v>20</v>
      </c>
      <c r="AE26">
        <v>4.7449999999999999E-2</v>
      </c>
      <c r="AF26">
        <v>0.76</v>
      </c>
      <c r="AG26">
        <v>132</v>
      </c>
      <c r="AH26">
        <v>1.5</v>
      </c>
      <c r="AI26">
        <v>1.2</v>
      </c>
      <c r="AJ26">
        <v>1.52</v>
      </c>
      <c r="AK26">
        <v>94.9</v>
      </c>
      <c r="AL26">
        <v>40</v>
      </c>
      <c r="AM26">
        <v>80</v>
      </c>
      <c r="AN26">
        <v>2300</v>
      </c>
      <c r="AO26">
        <v>1550</v>
      </c>
      <c r="AP26">
        <v>2750</v>
      </c>
      <c r="AQ26">
        <v>3200</v>
      </c>
      <c r="AR26">
        <v>0.76</v>
      </c>
      <c r="AS26">
        <v>25</v>
      </c>
      <c r="AT26">
        <v>15</v>
      </c>
      <c r="AU26">
        <v>10</v>
      </c>
      <c r="AV26">
        <v>4</v>
      </c>
      <c r="AW26">
        <v>10</v>
      </c>
      <c r="AX26">
        <v>9.7449999999999995E-2</v>
      </c>
      <c r="AY26">
        <v>8.3909963117727998E-2</v>
      </c>
      <c r="AZ26">
        <v>40</v>
      </c>
      <c r="BA26">
        <v>17.008703654305901</v>
      </c>
      <c r="BB26">
        <v>0.05</v>
      </c>
      <c r="BC26">
        <v>50</v>
      </c>
      <c r="BD26">
        <v>50</v>
      </c>
      <c r="BE26">
        <v>136.06962923444701</v>
      </c>
      <c r="BF26">
        <v>288</v>
      </c>
      <c r="BG26">
        <v>11.802740999999999</v>
      </c>
      <c r="BH26">
        <v>0.37374401000000002</v>
      </c>
      <c r="BI26">
        <v>-14.854170999999999</v>
      </c>
      <c r="BJ26">
        <v>-972.33507999999995</v>
      </c>
      <c r="BK26">
        <v>12.840431000000001</v>
      </c>
      <c r="BL26">
        <v>1076.877</v>
      </c>
    </row>
    <row r="27" spans="1:64" x14ac:dyDescent="0.35">
      <c r="A27" t="s">
        <v>88</v>
      </c>
      <c r="B27">
        <v>20</v>
      </c>
      <c r="C27">
        <v>4.7449999999999999E-2</v>
      </c>
      <c r="D27">
        <v>0.76</v>
      </c>
      <c r="E27">
        <v>132</v>
      </c>
      <c r="F27">
        <v>1.5</v>
      </c>
      <c r="G27">
        <v>1.2</v>
      </c>
      <c r="H27">
        <v>1.52</v>
      </c>
      <c r="I27">
        <v>94.9</v>
      </c>
      <c r="J27">
        <v>40</v>
      </c>
      <c r="K27">
        <v>80</v>
      </c>
      <c r="L27">
        <v>2300</v>
      </c>
      <c r="M27">
        <v>15.2</v>
      </c>
      <c r="N27">
        <v>30.4</v>
      </c>
      <c r="O27">
        <v>1.8979999999999999</v>
      </c>
      <c r="P27">
        <v>0.76</v>
      </c>
      <c r="Q27">
        <v>25</v>
      </c>
      <c r="R27">
        <v>15</v>
      </c>
      <c r="S27">
        <v>10</v>
      </c>
      <c r="T27">
        <v>4</v>
      </c>
      <c r="U27">
        <v>10</v>
      </c>
      <c r="V27">
        <v>9.7449999999999995E-2</v>
      </c>
      <c r="W27">
        <v>4.7449999999999999E-2</v>
      </c>
      <c r="X27">
        <v>8.3909963117727998E-2</v>
      </c>
      <c r="Y27">
        <v>40</v>
      </c>
      <c r="Z27">
        <v>0.5</v>
      </c>
      <c r="AA27">
        <v>101325</v>
      </c>
      <c r="AB27">
        <v>288</v>
      </c>
      <c r="AC27">
        <v>0.76</v>
      </c>
      <c r="AD27">
        <v>20</v>
      </c>
      <c r="AE27">
        <v>4.7449999999999999E-2</v>
      </c>
      <c r="AF27">
        <v>0.76</v>
      </c>
      <c r="AG27">
        <v>132</v>
      </c>
      <c r="AH27">
        <v>1.5</v>
      </c>
      <c r="AI27">
        <v>1.2</v>
      </c>
      <c r="AJ27">
        <v>1.52</v>
      </c>
      <c r="AK27">
        <v>94.9</v>
      </c>
      <c r="AL27">
        <v>40</v>
      </c>
      <c r="AM27">
        <v>80</v>
      </c>
      <c r="AN27">
        <v>2300</v>
      </c>
      <c r="AO27">
        <v>1550</v>
      </c>
      <c r="AP27">
        <v>2750</v>
      </c>
      <c r="AQ27">
        <v>3200</v>
      </c>
      <c r="AR27">
        <v>0.76</v>
      </c>
      <c r="AS27">
        <v>25</v>
      </c>
      <c r="AT27">
        <v>15</v>
      </c>
      <c r="AU27">
        <v>10</v>
      </c>
      <c r="AV27">
        <v>4</v>
      </c>
      <c r="AW27">
        <v>10</v>
      </c>
      <c r="AX27">
        <v>9.7449999999999995E-2</v>
      </c>
      <c r="AY27">
        <v>8.3909963117727998E-2</v>
      </c>
      <c r="AZ27">
        <v>40</v>
      </c>
      <c r="BA27">
        <v>34.017407308611801</v>
      </c>
      <c r="BB27">
        <v>0.1</v>
      </c>
      <c r="BC27">
        <v>50</v>
      </c>
      <c r="BD27">
        <v>50</v>
      </c>
      <c r="BE27">
        <v>170.08703654305901</v>
      </c>
      <c r="BF27">
        <v>288</v>
      </c>
      <c r="BG27">
        <v>46.088928000000003</v>
      </c>
      <c r="BH27">
        <v>1.9967689</v>
      </c>
      <c r="BI27">
        <v>-57.935675000000003</v>
      </c>
      <c r="BJ27">
        <v>-643.00588000000005</v>
      </c>
      <c r="BK27">
        <v>-11.210037</v>
      </c>
      <c r="BL27">
        <v>711.44835999999998</v>
      </c>
    </row>
    <row r="28" spans="1:64" x14ac:dyDescent="0.35">
      <c r="A28" t="s">
        <v>89</v>
      </c>
      <c r="B28">
        <v>20</v>
      </c>
      <c r="C28">
        <v>4.7449999999999999E-2</v>
      </c>
      <c r="D28">
        <v>0.76</v>
      </c>
      <c r="E28">
        <v>132</v>
      </c>
      <c r="F28">
        <v>1.5</v>
      </c>
      <c r="G28">
        <v>1.2</v>
      </c>
      <c r="H28">
        <v>1.52</v>
      </c>
      <c r="I28">
        <v>94.9</v>
      </c>
      <c r="J28">
        <v>40</v>
      </c>
      <c r="K28">
        <v>80</v>
      </c>
      <c r="L28">
        <v>2300</v>
      </c>
      <c r="M28">
        <v>15.2</v>
      </c>
      <c r="N28">
        <v>30.4</v>
      </c>
      <c r="O28">
        <v>1.8979999999999999</v>
      </c>
      <c r="P28">
        <v>0.76</v>
      </c>
      <c r="Q28">
        <v>25</v>
      </c>
      <c r="R28">
        <v>15</v>
      </c>
      <c r="S28">
        <v>10</v>
      </c>
      <c r="T28">
        <v>4</v>
      </c>
      <c r="U28">
        <v>10</v>
      </c>
      <c r="V28">
        <v>9.7449999999999995E-2</v>
      </c>
      <c r="W28">
        <v>4.7449999999999999E-2</v>
      </c>
      <c r="X28">
        <v>8.3909963117727998E-2</v>
      </c>
      <c r="Y28">
        <v>40</v>
      </c>
      <c r="Z28">
        <v>0.6</v>
      </c>
      <c r="AA28">
        <v>101325</v>
      </c>
      <c r="AB28">
        <v>288</v>
      </c>
      <c r="AC28">
        <v>0.76</v>
      </c>
      <c r="AD28">
        <v>20</v>
      </c>
      <c r="AE28">
        <v>4.7449999999999999E-2</v>
      </c>
      <c r="AF28">
        <v>0.76</v>
      </c>
      <c r="AG28">
        <v>132</v>
      </c>
      <c r="AH28">
        <v>1.5</v>
      </c>
      <c r="AI28">
        <v>1.2</v>
      </c>
      <c r="AJ28">
        <v>1.52</v>
      </c>
      <c r="AK28">
        <v>94.9</v>
      </c>
      <c r="AL28">
        <v>40</v>
      </c>
      <c r="AM28">
        <v>80</v>
      </c>
      <c r="AN28">
        <v>2300</v>
      </c>
      <c r="AO28">
        <v>1550</v>
      </c>
      <c r="AP28">
        <v>2750</v>
      </c>
      <c r="AQ28">
        <v>3200</v>
      </c>
      <c r="AR28">
        <v>0.76</v>
      </c>
      <c r="AS28">
        <v>25</v>
      </c>
      <c r="AT28">
        <v>15</v>
      </c>
      <c r="AU28">
        <v>10</v>
      </c>
      <c r="AV28">
        <v>4</v>
      </c>
      <c r="AW28">
        <v>10</v>
      </c>
      <c r="AX28">
        <v>9.7449999999999995E-2</v>
      </c>
      <c r="AY28">
        <v>8.3909963117727998E-2</v>
      </c>
      <c r="AZ28">
        <v>40</v>
      </c>
      <c r="BA28">
        <v>102.052221925835</v>
      </c>
      <c r="BB28">
        <v>0.3</v>
      </c>
      <c r="BC28">
        <v>50</v>
      </c>
      <c r="BD28">
        <v>50</v>
      </c>
      <c r="BE28">
        <v>204.10444385167099</v>
      </c>
      <c r="BF28">
        <v>288</v>
      </c>
      <c r="BG28">
        <v>365.38911000000002</v>
      </c>
      <c r="BH28">
        <v>26.118261</v>
      </c>
      <c r="BI28">
        <v>-460.54473999999999</v>
      </c>
      <c r="BJ28">
        <v>-1895.6341</v>
      </c>
      <c r="BK28">
        <v>9.1766457999999993</v>
      </c>
      <c r="BL28">
        <v>2106.2408</v>
      </c>
    </row>
    <row r="29" spans="1:64" x14ac:dyDescent="0.35">
      <c r="A29" t="s">
        <v>90</v>
      </c>
      <c r="B29">
        <v>20</v>
      </c>
      <c r="C29">
        <v>4.7449999999999999E-2</v>
      </c>
      <c r="D29">
        <v>0.76</v>
      </c>
      <c r="E29">
        <v>132</v>
      </c>
      <c r="F29">
        <v>1.5</v>
      </c>
      <c r="G29">
        <v>1.2</v>
      </c>
      <c r="H29">
        <v>1.52</v>
      </c>
      <c r="I29">
        <v>94.9</v>
      </c>
      <c r="J29">
        <v>40</v>
      </c>
      <c r="K29">
        <v>80</v>
      </c>
      <c r="L29">
        <v>2300</v>
      </c>
      <c r="M29">
        <v>15.2</v>
      </c>
      <c r="N29">
        <v>30.4</v>
      </c>
      <c r="O29">
        <v>1.8979999999999999</v>
      </c>
      <c r="P29">
        <v>0.76</v>
      </c>
      <c r="Q29">
        <v>25</v>
      </c>
      <c r="R29">
        <v>15</v>
      </c>
      <c r="S29">
        <v>10</v>
      </c>
      <c r="T29">
        <v>4</v>
      </c>
      <c r="U29">
        <v>10</v>
      </c>
      <c r="V29">
        <v>9.7449999999999995E-2</v>
      </c>
      <c r="W29">
        <v>4.7449999999999999E-2</v>
      </c>
      <c r="X29">
        <v>8.3909963117727998E-2</v>
      </c>
      <c r="Y29">
        <v>40</v>
      </c>
      <c r="Z29">
        <v>0.3</v>
      </c>
      <c r="AA29">
        <v>101325</v>
      </c>
      <c r="AB29">
        <v>288</v>
      </c>
      <c r="AC29">
        <v>0.76</v>
      </c>
      <c r="AD29">
        <v>20</v>
      </c>
      <c r="AE29">
        <v>4.7449999999999999E-2</v>
      </c>
      <c r="AF29">
        <v>0.76</v>
      </c>
      <c r="AG29">
        <v>132</v>
      </c>
      <c r="AH29">
        <v>1.5</v>
      </c>
      <c r="AI29">
        <v>1.2</v>
      </c>
      <c r="AJ29">
        <v>1.52</v>
      </c>
      <c r="AK29">
        <v>94.9</v>
      </c>
      <c r="AL29">
        <v>40</v>
      </c>
      <c r="AM29">
        <v>80</v>
      </c>
      <c r="AN29">
        <v>2300</v>
      </c>
      <c r="AO29">
        <v>1550</v>
      </c>
      <c r="AP29">
        <v>2750</v>
      </c>
      <c r="AQ29">
        <v>3200</v>
      </c>
      <c r="AR29">
        <v>0.76</v>
      </c>
      <c r="AS29">
        <v>25</v>
      </c>
      <c r="AT29">
        <v>15</v>
      </c>
      <c r="AU29">
        <v>10</v>
      </c>
      <c r="AV29">
        <v>4</v>
      </c>
      <c r="AW29">
        <v>10</v>
      </c>
      <c r="AX29">
        <v>9.7449999999999995E-2</v>
      </c>
      <c r="AY29">
        <v>8.3909963117727998E-2</v>
      </c>
      <c r="AZ29">
        <v>40</v>
      </c>
      <c r="BA29">
        <v>102.052221925835</v>
      </c>
      <c r="BB29">
        <v>0.3</v>
      </c>
      <c r="BC29">
        <v>50</v>
      </c>
      <c r="BD29">
        <v>50</v>
      </c>
      <c r="BE29">
        <v>102.052221925835</v>
      </c>
      <c r="BF29">
        <v>288</v>
      </c>
      <c r="BG29">
        <v>365.38911000000002</v>
      </c>
      <c r="BH29">
        <v>26.118261</v>
      </c>
      <c r="BI29">
        <v>-460.54473999999999</v>
      </c>
      <c r="BJ29">
        <v>-366.43450000000001</v>
      </c>
      <c r="BK29">
        <v>3.6023936000000001</v>
      </c>
      <c r="BL29">
        <v>404.39039000000002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focus-data-pivot</vt:lpstr>
      <vt:lpstr>selection</vt:lpstr>
      <vt:lpstr>data-points-rocketCFD-windtunne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Leonardo Valadez Ortiz</cp:lastModifiedBy>
  <dcterms:created xsi:type="dcterms:W3CDTF">2025-10-03T01:17:09Z</dcterms:created>
  <dcterms:modified xsi:type="dcterms:W3CDTF">2025-10-03T06:44:37Z</dcterms:modified>
</cp:coreProperties>
</file>